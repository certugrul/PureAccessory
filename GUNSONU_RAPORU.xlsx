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rale\Desktop\"/>
    </mc:Choice>
  </mc:AlternateContent>
  <xr:revisionPtr revIDLastSave="0" documentId="13_ncr:1_{DB85762B-574C-401B-9BA5-17D91D167C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KİM 2026 " sheetId="30" r:id="rId1"/>
    <sheet name="EYLÜL 2026" sheetId="29" r:id="rId2"/>
    <sheet name="AĞUSTOS 2026" sheetId="28" r:id="rId3"/>
    <sheet name="TEMMUZ 2026" sheetId="27" r:id="rId4"/>
    <sheet name="HAZİRAN 2026" sheetId="26" r:id="rId5"/>
    <sheet name="MAYIS 2026" sheetId="25" r:id="rId6"/>
    <sheet name="NİSAN 2026" sheetId="24" r:id="rId7"/>
    <sheet name="MART 2026" sheetId="22" r:id="rId8"/>
    <sheet name="ŞUBAT 2026" sheetId="21" r:id="rId9"/>
    <sheet name="OCAK 2026" sheetId="19" r:id="rId10"/>
    <sheet name="GENEL 2025" sheetId="20" r:id="rId11"/>
    <sheet name="ARALIK 2025" sheetId="18" r:id="rId12"/>
    <sheet name="KASIM 2025" sheetId="17" r:id="rId13"/>
    <sheet name="EKİM 2025" sheetId="16" r:id="rId14"/>
    <sheet name="Sayfa1" sheetId="23" r:id="rId15"/>
    <sheet name="EYLÜL GÜNSONU TABLOSU " sheetId="15" r:id="rId16"/>
    <sheet name="AĞUSTOS GÜNSONU TABLOSU" sheetId="14" r:id="rId17"/>
    <sheet name="TEMMUZ GÜNSONU TABLOSU" sheetId="13" r:id="rId18"/>
    <sheet name="HAZİRAN GÜNSONU TABLOSU  " sheetId="12" r:id="rId19"/>
    <sheet name="MAYIS GÜNSONU TABLOSU " sheetId="11" r:id="rId20"/>
    <sheet name="NİSAN GÜNSONU TABLOSU " sheetId="10" r:id="rId21"/>
    <sheet name="MART GÜNSONU TABLOSU" sheetId="9" r:id="rId22"/>
    <sheet name="ŞUBAT GÜNSONU TABLOSU" sheetId="8" r:id="rId23"/>
    <sheet name="OCAK GÜNSONU TABLOSU" sheetId="6" r:id="rId24"/>
    <sheet name="2025" sheetId="7" r:id="rId25"/>
    <sheet name="ARALIK GÜNSONU TABLOSU" sheetId="5" r:id="rId26"/>
    <sheet name="KASIM GÜNSONU TABLOSU" sheetId="3" r:id="rId27"/>
    <sheet name="EKİM 2024" sheetId="4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30" l="1"/>
  <c r="I34" i="30"/>
  <c r="F34" i="30"/>
  <c r="G34" i="28"/>
  <c r="F34" i="28"/>
  <c r="I33" i="28"/>
  <c r="I32" i="28"/>
  <c r="I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34" i="28" s="1"/>
  <c r="I9" i="28"/>
  <c r="I8" i="28"/>
  <c r="I7" i="28"/>
  <c r="I6" i="28"/>
  <c r="I5" i="28"/>
  <c r="I4" i="28"/>
  <c r="I3" i="28"/>
  <c r="I3" i="29"/>
  <c r="L34" i="29"/>
  <c r="F34" i="29"/>
  <c r="I34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" i="30"/>
  <c r="I4" i="30"/>
  <c r="I8" i="30"/>
  <c r="I9" i="30"/>
  <c r="I6" i="30"/>
  <c r="I7" i="30"/>
  <c r="I5" i="30"/>
  <c r="G33" i="30"/>
  <c r="H33" i="30"/>
  <c r="A33" i="30"/>
  <c r="J34" i="30"/>
  <c r="J38" i="30" s="1"/>
  <c r="E34" i="30"/>
  <c r="D34" i="30"/>
  <c r="C34" i="30"/>
  <c r="B34" i="30"/>
  <c r="N33" i="30"/>
  <c r="M33" i="30"/>
  <c r="L33" i="30"/>
  <c r="F33" i="30"/>
  <c r="N32" i="30"/>
  <c r="M32" i="30"/>
  <c r="L32" i="30"/>
  <c r="H32" i="30"/>
  <c r="G32" i="30"/>
  <c r="F32" i="30"/>
  <c r="N31" i="30"/>
  <c r="M31" i="30"/>
  <c r="L31" i="30"/>
  <c r="H31" i="30"/>
  <c r="G31" i="30"/>
  <c r="F31" i="30"/>
  <c r="N30" i="30"/>
  <c r="M30" i="30"/>
  <c r="L30" i="30"/>
  <c r="H30" i="30"/>
  <c r="G30" i="30"/>
  <c r="F30" i="30"/>
  <c r="N29" i="30"/>
  <c r="M29" i="30"/>
  <c r="L29" i="30"/>
  <c r="H29" i="30"/>
  <c r="G29" i="30"/>
  <c r="F29" i="30"/>
  <c r="N28" i="30"/>
  <c r="M28" i="30"/>
  <c r="L28" i="30"/>
  <c r="H28" i="30"/>
  <c r="G28" i="30"/>
  <c r="F28" i="30"/>
  <c r="N27" i="30"/>
  <c r="M27" i="30"/>
  <c r="L27" i="30"/>
  <c r="H27" i="30"/>
  <c r="G27" i="30"/>
  <c r="F27" i="30"/>
  <c r="N26" i="30"/>
  <c r="M26" i="30"/>
  <c r="L26" i="30"/>
  <c r="H26" i="30"/>
  <c r="G26" i="30"/>
  <c r="F26" i="30"/>
  <c r="N25" i="30"/>
  <c r="M25" i="30"/>
  <c r="L25" i="30"/>
  <c r="H25" i="30"/>
  <c r="G25" i="30"/>
  <c r="F25" i="30"/>
  <c r="N24" i="30"/>
  <c r="M24" i="30"/>
  <c r="L24" i="30"/>
  <c r="H24" i="30"/>
  <c r="G24" i="30"/>
  <c r="F24" i="30"/>
  <c r="N23" i="30"/>
  <c r="M23" i="30"/>
  <c r="L23" i="30"/>
  <c r="H23" i="30"/>
  <c r="G23" i="30"/>
  <c r="F23" i="30"/>
  <c r="N22" i="30"/>
  <c r="M22" i="30"/>
  <c r="L22" i="30"/>
  <c r="H22" i="30"/>
  <c r="G22" i="30"/>
  <c r="F22" i="30"/>
  <c r="N21" i="30"/>
  <c r="M21" i="30"/>
  <c r="L21" i="30"/>
  <c r="H21" i="30"/>
  <c r="G21" i="30"/>
  <c r="F21" i="30"/>
  <c r="N20" i="30"/>
  <c r="M20" i="30"/>
  <c r="L20" i="30"/>
  <c r="H20" i="30"/>
  <c r="G20" i="30"/>
  <c r="F20" i="30"/>
  <c r="N19" i="30"/>
  <c r="M19" i="30"/>
  <c r="L19" i="30"/>
  <c r="H19" i="30"/>
  <c r="G19" i="30"/>
  <c r="F19" i="30"/>
  <c r="N18" i="30"/>
  <c r="M18" i="30"/>
  <c r="L18" i="30"/>
  <c r="H18" i="30"/>
  <c r="G18" i="30"/>
  <c r="F18" i="30"/>
  <c r="N17" i="30"/>
  <c r="M17" i="30"/>
  <c r="L17" i="30"/>
  <c r="H17" i="30"/>
  <c r="G17" i="30"/>
  <c r="F17" i="30"/>
  <c r="N16" i="30"/>
  <c r="M16" i="30"/>
  <c r="L16" i="30"/>
  <c r="H16" i="30"/>
  <c r="G16" i="30"/>
  <c r="F16" i="30"/>
  <c r="N15" i="30"/>
  <c r="M15" i="30"/>
  <c r="L15" i="30"/>
  <c r="H15" i="30"/>
  <c r="G15" i="30"/>
  <c r="F15" i="30"/>
  <c r="N14" i="30"/>
  <c r="M14" i="30"/>
  <c r="L14" i="30"/>
  <c r="H14" i="30"/>
  <c r="G14" i="30"/>
  <c r="F14" i="30"/>
  <c r="N13" i="30"/>
  <c r="M13" i="30"/>
  <c r="L13" i="30"/>
  <c r="H13" i="30"/>
  <c r="G13" i="30"/>
  <c r="F13" i="30"/>
  <c r="N12" i="30"/>
  <c r="M12" i="30"/>
  <c r="L12" i="30"/>
  <c r="H12" i="30"/>
  <c r="G12" i="30"/>
  <c r="F12" i="30"/>
  <c r="N11" i="30"/>
  <c r="M11" i="30"/>
  <c r="L11" i="30"/>
  <c r="H11" i="30"/>
  <c r="G11" i="30"/>
  <c r="F11" i="30"/>
  <c r="N10" i="30"/>
  <c r="M10" i="30"/>
  <c r="L10" i="30"/>
  <c r="H10" i="30"/>
  <c r="G10" i="30"/>
  <c r="F10" i="30"/>
  <c r="N9" i="30"/>
  <c r="M9" i="30"/>
  <c r="L9" i="30"/>
  <c r="H9" i="30"/>
  <c r="G9" i="30"/>
  <c r="F9" i="30"/>
  <c r="N8" i="30"/>
  <c r="L8" i="30"/>
  <c r="H8" i="30"/>
  <c r="G8" i="30"/>
  <c r="F8" i="30"/>
  <c r="N7" i="30"/>
  <c r="M7" i="30"/>
  <c r="L7" i="30"/>
  <c r="H7" i="30"/>
  <c r="G7" i="30"/>
  <c r="F7" i="30"/>
  <c r="N6" i="30"/>
  <c r="M6" i="30"/>
  <c r="L6" i="30"/>
  <c r="H6" i="30"/>
  <c r="G6" i="30"/>
  <c r="F6" i="30"/>
  <c r="N5" i="30"/>
  <c r="M5" i="30"/>
  <c r="L5" i="30"/>
  <c r="H5" i="30"/>
  <c r="G5" i="30"/>
  <c r="F5" i="30"/>
  <c r="N4" i="30"/>
  <c r="M4" i="30"/>
  <c r="L4" i="30"/>
  <c r="H4" i="30"/>
  <c r="G4" i="30"/>
  <c r="F4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N3" i="30"/>
  <c r="M3" i="30"/>
  <c r="L3" i="30"/>
  <c r="H3" i="30"/>
  <c r="G3" i="30"/>
  <c r="G34" i="30" s="1"/>
  <c r="F3" i="30"/>
  <c r="J34" i="29"/>
  <c r="J38" i="29" s="1"/>
  <c r="E34" i="29"/>
  <c r="D34" i="29"/>
  <c r="C34" i="29"/>
  <c r="B34" i="29"/>
  <c r="N33" i="29"/>
  <c r="M33" i="29"/>
  <c r="N32" i="29"/>
  <c r="M32" i="29"/>
  <c r="L32" i="29"/>
  <c r="H32" i="29"/>
  <c r="G32" i="29"/>
  <c r="F32" i="29"/>
  <c r="N31" i="29"/>
  <c r="M31" i="29"/>
  <c r="L31" i="29"/>
  <c r="H31" i="29"/>
  <c r="G31" i="29"/>
  <c r="F31" i="29"/>
  <c r="N30" i="29"/>
  <c r="M30" i="29"/>
  <c r="L30" i="29"/>
  <c r="H30" i="29"/>
  <c r="G30" i="29"/>
  <c r="F30" i="29"/>
  <c r="N29" i="29"/>
  <c r="M29" i="29"/>
  <c r="L29" i="29"/>
  <c r="H29" i="29"/>
  <c r="G29" i="29"/>
  <c r="F29" i="29"/>
  <c r="N28" i="29"/>
  <c r="M28" i="29"/>
  <c r="L28" i="29"/>
  <c r="H28" i="29"/>
  <c r="G28" i="29"/>
  <c r="F28" i="29"/>
  <c r="N27" i="29"/>
  <c r="M27" i="29"/>
  <c r="L27" i="29"/>
  <c r="H27" i="29"/>
  <c r="G27" i="29"/>
  <c r="F27" i="29"/>
  <c r="N26" i="29"/>
  <c r="M26" i="29"/>
  <c r="L26" i="29"/>
  <c r="H26" i="29"/>
  <c r="G26" i="29"/>
  <c r="F26" i="29"/>
  <c r="N25" i="29"/>
  <c r="M25" i="29"/>
  <c r="L25" i="29"/>
  <c r="H25" i="29"/>
  <c r="G25" i="29"/>
  <c r="F25" i="29"/>
  <c r="N24" i="29"/>
  <c r="M24" i="29"/>
  <c r="L24" i="29"/>
  <c r="H24" i="29"/>
  <c r="G24" i="29"/>
  <c r="F24" i="29"/>
  <c r="N23" i="29"/>
  <c r="M23" i="29"/>
  <c r="L23" i="29"/>
  <c r="H23" i="29"/>
  <c r="G23" i="29"/>
  <c r="F23" i="29"/>
  <c r="N22" i="29"/>
  <c r="M22" i="29"/>
  <c r="L22" i="29"/>
  <c r="H22" i="29"/>
  <c r="G22" i="29"/>
  <c r="F22" i="29"/>
  <c r="N21" i="29"/>
  <c r="M21" i="29"/>
  <c r="L21" i="29"/>
  <c r="H21" i="29"/>
  <c r="G21" i="29"/>
  <c r="F21" i="29"/>
  <c r="N20" i="29"/>
  <c r="M20" i="29"/>
  <c r="L20" i="29"/>
  <c r="H20" i="29"/>
  <c r="G20" i="29"/>
  <c r="F20" i="29"/>
  <c r="N19" i="29"/>
  <c r="M19" i="29"/>
  <c r="L19" i="29"/>
  <c r="H19" i="29"/>
  <c r="G19" i="29"/>
  <c r="F19" i="29"/>
  <c r="N18" i="29"/>
  <c r="M18" i="29"/>
  <c r="L18" i="29"/>
  <c r="H18" i="29"/>
  <c r="G18" i="29"/>
  <c r="F18" i="29"/>
  <c r="N17" i="29"/>
  <c r="M17" i="29"/>
  <c r="L17" i="29"/>
  <c r="H17" i="29"/>
  <c r="G17" i="29"/>
  <c r="F17" i="29"/>
  <c r="N16" i="29"/>
  <c r="M16" i="29"/>
  <c r="L16" i="29"/>
  <c r="H16" i="29"/>
  <c r="G16" i="29"/>
  <c r="F16" i="29"/>
  <c r="N15" i="29"/>
  <c r="M15" i="29"/>
  <c r="L15" i="29"/>
  <c r="H15" i="29"/>
  <c r="G15" i="29"/>
  <c r="F15" i="29"/>
  <c r="N14" i="29"/>
  <c r="M14" i="29"/>
  <c r="L14" i="29"/>
  <c r="H14" i="29"/>
  <c r="G14" i="29"/>
  <c r="F14" i="29"/>
  <c r="N13" i="29"/>
  <c r="M13" i="29"/>
  <c r="L13" i="29"/>
  <c r="H13" i="29"/>
  <c r="G13" i="29"/>
  <c r="F13" i="29"/>
  <c r="N12" i="29"/>
  <c r="M12" i="29"/>
  <c r="L12" i="29"/>
  <c r="H12" i="29"/>
  <c r="G12" i="29"/>
  <c r="F12" i="29"/>
  <c r="N11" i="29"/>
  <c r="M11" i="29"/>
  <c r="L11" i="29"/>
  <c r="H11" i="29"/>
  <c r="G11" i="29"/>
  <c r="F11" i="29"/>
  <c r="N10" i="29"/>
  <c r="M10" i="29"/>
  <c r="L10" i="29"/>
  <c r="H10" i="29"/>
  <c r="G10" i="29"/>
  <c r="F10" i="29"/>
  <c r="N9" i="29"/>
  <c r="M9" i="29"/>
  <c r="L9" i="29"/>
  <c r="H9" i="29"/>
  <c r="G9" i="29"/>
  <c r="F9" i="29"/>
  <c r="N8" i="29"/>
  <c r="L8" i="29"/>
  <c r="H8" i="29"/>
  <c r="G8" i="29"/>
  <c r="F8" i="29"/>
  <c r="N7" i="29"/>
  <c r="M7" i="29"/>
  <c r="L7" i="29"/>
  <c r="H7" i="29"/>
  <c r="G7" i="29"/>
  <c r="F7" i="29"/>
  <c r="N6" i="29"/>
  <c r="M6" i="29"/>
  <c r="L6" i="29"/>
  <c r="H6" i="29"/>
  <c r="G6" i="29"/>
  <c r="F6" i="29"/>
  <c r="N5" i="29"/>
  <c r="M5" i="29"/>
  <c r="L5" i="29"/>
  <c r="H5" i="29"/>
  <c r="G5" i="29"/>
  <c r="F5" i="29"/>
  <c r="N4" i="29"/>
  <c r="M4" i="29"/>
  <c r="L4" i="29"/>
  <c r="H4" i="29"/>
  <c r="G4" i="29"/>
  <c r="F4" i="29"/>
  <c r="A4" i="29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N3" i="29"/>
  <c r="M3" i="29"/>
  <c r="L3" i="29"/>
  <c r="H3" i="29"/>
  <c r="G3" i="29"/>
  <c r="F3" i="29"/>
  <c r="G3" i="28"/>
  <c r="H3" i="28"/>
  <c r="G4" i="28"/>
  <c r="H4" i="28"/>
  <c r="G5" i="28"/>
  <c r="H5" i="28"/>
  <c r="G6" i="28"/>
  <c r="H6" i="28"/>
  <c r="G7" i="28"/>
  <c r="H7" i="28"/>
  <c r="G8" i="28"/>
  <c r="H8" i="28"/>
  <c r="G9" i="28"/>
  <c r="H9" i="28"/>
  <c r="G10" i="28"/>
  <c r="H10" i="28"/>
  <c r="G11" i="28"/>
  <c r="H11" i="28"/>
  <c r="G12" i="28"/>
  <c r="H12" i="28"/>
  <c r="G13" i="28"/>
  <c r="H13" i="28"/>
  <c r="G14" i="28"/>
  <c r="H14" i="28"/>
  <c r="G15" i="28"/>
  <c r="H15" i="28"/>
  <c r="G16" i="28"/>
  <c r="H16" i="28"/>
  <c r="G17" i="28"/>
  <c r="H17" i="28"/>
  <c r="G18" i="28"/>
  <c r="H18" i="28"/>
  <c r="G19" i="28"/>
  <c r="H19" i="28"/>
  <c r="G20" i="28"/>
  <c r="H20" i="28"/>
  <c r="G21" i="28"/>
  <c r="H21" i="28"/>
  <c r="G22" i="28"/>
  <c r="H22" i="28"/>
  <c r="G23" i="28"/>
  <c r="H23" i="28"/>
  <c r="G24" i="28"/>
  <c r="H24" i="28"/>
  <c r="G25" i="28"/>
  <c r="H25" i="28"/>
  <c r="G26" i="28"/>
  <c r="H26" i="28"/>
  <c r="G27" i="28"/>
  <c r="H27" i="28"/>
  <c r="G28" i="28"/>
  <c r="H28" i="28"/>
  <c r="G29" i="28"/>
  <c r="H29" i="28"/>
  <c r="G30" i="28"/>
  <c r="H30" i="28"/>
  <c r="G31" i="28"/>
  <c r="H31" i="28"/>
  <c r="G32" i="28"/>
  <c r="H32" i="28"/>
  <c r="G33" i="28"/>
  <c r="H33" i="28"/>
  <c r="J34" i="28"/>
  <c r="E34" i="28"/>
  <c r="D34" i="28"/>
  <c r="C34" i="28"/>
  <c r="B34" i="28"/>
  <c r="N33" i="28"/>
  <c r="M33" i="28"/>
  <c r="L33" i="28"/>
  <c r="F33" i="28"/>
  <c r="N32" i="28"/>
  <c r="M32" i="28"/>
  <c r="L32" i="28"/>
  <c r="F32" i="28"/>
  <c r="N31" i="28"/>
  <c r="M31" i="28"/>
  <c r="L31" i="28"/>
  <c r="F31" i="28"/>
  <c r="N30" i="28"/>
  <c r="M30" i="28"/>
  <c r="L30" i="28"/>
  <c r="F30" i="28"/>
  <c r="N29" i="28"/>
  <c r="M29" i="28"/>
  <c r="L29" i="28"/>
  <c r="F29" i="28"/>
  <c r="N28" i="28"/>
  <c r="M28" i="28"/>
  <c r="L28" i="28"/>
  <c r="F28" i="28"/>
  <c r="N27" i="28"/>
  <c r="M27" i="28"/>
  <c r="L27" i="28"/>
  <c r="F27" i="28"/>
  <c r="N26" i="28"/>
  <c r="M26" i="28"/>
  <c r="L26" i="28"/>
  <c r="F26" i="28"/>
  <c r="N25" i="28"/>
  <c r="M25" i="28"/>
  <c r="L25" i="28"/>
  <c r="F25" i="28"/>
  <c r="N24" i="28"/>
  <c r="M24" i="28"/>
  <c r="L24" i="28"/>
  <c r="F24" i="28"/>
  <c r="N23" i="28"/>
  <c r="M23" i="28"/>
  <c r="L23" i="28"/>
  <c r="F23" i="28"/>
  <c r="N22" i="28"/>
  <c r="M22" i="28"/>
  <c r="L22" i="28"/>
  <c r="F22" i="28"/>
  <c r="N21" i="28"/>
  <c r="M21" i="28"/>
  <c r="L21" i="28"/>
  <c r="F21" i="28"/>
  <c r="N20" i="28"/>
  <c r="M20" i="28"/>
  <c r="L20" i="28"/>
  <c r="F20" i="28"/>
  <c r="N19" i="28"/>
  <c r="M19" i="28"/>
  <c r="L19" i="28"/>
  <c r="F19" i="28"/>
  <c r="N18" i="28"/>
  <c r="M18" i="28"/>
  <c r="L18" i="28"/>
  <c r="F18" i="28"/>
  <c r="N17" i="28"/>
  <c r="M17" i="28"/>
  <c r="L17" i="28"/>
  <c r="F17" i="28"/>
  <c r="N16" i="28"/>
  <c r="M16" i="28"/>
  <c r="L16" i="28"/>
  <c r="F16" i="28"/>
  <c r="N15" i="28"/>
  <c r="M15" i="28"/>
  <c r="L15" i="28"/>
  <c r="F15" i="28"/>
  <c r="N14" i="28"/>
  <c r="M14" i="28"/>
  <c r="L14" i="28"/>
  <c r="F14" i="28"/>
  <c r="N13" i="28"/>
  <c r="M13" i="28"/>
  <c r="L13" i="28"/>
  <c r="F13" i="28"/>
  <c r="N12" i="28"/>
  <c r="M12" i="28"/>
  <c r="L12" i="28"/>
  <c r="F12" i="28"/>
  <c r="N11" i="28"/>
  <c r="M11" i="28"/>
  <c r="L11" i="28"/>
  <c r="F11" i="28"/>
  <c r="N10" i="28"/>
  <c r="M10" i="28"/>
  <c r="L10" i="28"/>
  <c r="F10" i="28"/>
  <c r="N9" i="28"/>
  <c r="M9" i="28"/>
  <c r="L9" i="28"/>
  <c r="F9" i="28"/>
  <c r="N8" i="28"/>
  <c r="L8" i="28"/>
  <c r="F8" i="28"/>
  <c r="N7" i="28"/>
  <c r="M7" i="28"/>
  <c r="L7" i="28"/>
  <c r="F7" i="28"/>
  <c r="N6" i="28"/>
  <c r="M6" i="28"/>
  <c r="L6" i="28"/>
  <c r="F6" i="28"/>
  <c r="N5" i="28"/>
  <c r="M5" i="28"/>
  <c r="L5" i="28"/>
  <c r="F5" i="28"/>
  <c r="A5" i="28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N4" i="28"/>
  <c r="M4" i="28"/>
  <c r="L4" i="28"/>
  <c r="F4" i="28"/>
  <c r="A4" i="28"/>
  <c r="N3" i="28"/>
  <c r="M3" i="28"/>
  <c r="L3" i="28"/>
  <c r="F3" i="28"/>
  <c r="G3" i="27"/>
  <c r="H3" i="27"/>
  <c r="G4" i="27"/>
  <c r="H4" i="27"/>
  <c r="G5" i="27"/>
  <c r="H5" i="27"/>
  <c r="G6" i="27"/>
  <c r="H6" i="27"/>
  <c r="G7" i="27"/>
  <c r="H7" i="27"/>
  <c r="G8" i="27"/>
  <c r="H8" i="27"/>
  <c r="G9" i="27"/>
  <c r="H9" i="27"/>
  <c r="G10" i="27"/>
  <c r="H10" i="27"/>
  <c r="G11" i="27"/>
  <c r="H11" i="27"/>
  <c r="G12" i="27"/>
  <c r="H12" i="27"/>
  <c r="G13" i="27"/>
  <c r="H13" i="27"/>
  <c r="G14" i="27"/>
  <c r="H14" i="27"/>
  <c r="G15" i="27"/>
  <c r="H15" i="27"/>
  <c r="G16" i="27"/>
  <c r="H16" i="27"/>
  <c r="G17" i="27"/>
  <c r="H17" i="27"/>
  <c r="G18" i="27"/>
  <c r="H18" i="27"/>
  <c r="G19" i="27"/>
  <c r="H19" i="27"/>
  <c r="G20" i="27"/>
  <c r="H20" i="27"/>
  <c r="G21" i="27"/>
  <c r="H21" i="27"/>
  <c r="G22" i="27"/>
  <c r="H22" i="27"/>
  <c r="G23" i="27"/>
  <c r="H23" i="27"/>
  <c r="G24" i="27"/>
  <c r="H24" i="27"/>
  <c r="G25" i="27"/>
  <c r="H25" i="27"/>
  <c r="G26" i="27"/>
  <c r="H26" i="27"/>
  <c r="G27" i="27"/>
  <c r="H27" i="27"/>
  <c r="G28" i="27"/>
  <c r="H28" i="27"/>
  <c r="G29" i="27"/>
  <c r="H29" i="27"/>
  <c r="G30" i="27"/>
  <c r="H30" i="27"/>
  <c r="G31" i="27"/>
  <c r="H31" i="27"/>
  <c r="G32" i="27"/>
  <c r="H32" i="27"/>
  <c r="K34" i="27"/>
  <c r="J34" i="27"/>
  <c r="D34" i="27"/>
  <c r="B34" i="27"/>
  <c r="N33" i="27"/>
  <c r="M33" i="27"/>
  <c r="L33" i="27"/>
  <c r="H33" i="27"/>
  <c r="G33" i="27"/>
  <c r="F33" i="27"/>
  <c r="N32" i="27"/>
  <c r="M32" i="27"/>
  <c r="L32" i="27"/>
  <c r="F32" i="27"/>
  <c r="N31" i="27"/>
  <c r="M31" i="27"/>
  <c r="L31" i="27"/>
  <c r="F31" i="27"/>
  <c r="N30" i="27"/>
  <c r="M30" i="27"/>
  <c r="L30" i="27"/>
  <c r="F30" i="27"/>
  <c r="N29" i="27"/>
  <c r="M29" i="27"/>
  <c r="L29" i="27"/>
  <c r="F29" i="27"/>
  <c r="N28" i="27"/>
  <c r="M28" i="27"/>
  <c r="L28" i="27"/>
  <c r="F28" i="27"/>
  <c r="N27" i="27"/>
  <c r="M27" i="27"/>
  <c r="L27" i="27"/>
  <c r="F27" i="27"/>
  <c r="N26" i="27"/>
  <c r="M26" i="27"/>
  <c r="L26" i="27"/>
  <c r="F26" i="27"/>
  <c r="N25" i="27"/>
  <c r="M25" i="27"/>
  <c r="L25" i="27"/>
  <c r="F25" i="27"/>
  <c r="N24" i="27"/>
  <c r="M24" i="27"/>
  <c r="L24" i="27"/>
  <c r="F24" i="27"/>
  <c r="N23" i="27"/>
  <c r="M23" i="27"/>
  <c r="L23" i="27"/>
  <c r="F23" i="27"/>
  <c r="N22" i="27"/>
  <c r="M22" i="27"/>
  <c r="L22" i="27"/>
  <c r="F22" i="27"/>
  <c r="N21" i="27"/>
  <c r="M21" i="27"/>
  <c r="L21" i="27"/>
  <c r="F21" i="27"/>
  <c r="N20" i="27"/>
  <c r="M20" i="27"/>
  <c r="L20" i="27"/>
  <c r="F20" i="27"/>
  <c r="N19" i="27"/>
  <c r="M19" i="27"/>
  <c r="L19" i="27"/>
  <c r="F19" i="27"/>
  <c r="N18" i="27"/>
  <c r="M18" i="27"/>
  <c r="L18" i="27"/>
  <c r="F18" i="27"/>
  <c r="N17" i="27"/>
  <c r="M17" i="27"/>
  <c r="L17" i="27"/>
  <c r="F17" i="27"/>
  <c r="N16" i="27"/>
  <c r="M16" i="27"/>
  <c r="L16" i="27"/>
  <c r="F16" i="27"/>
  <c r="N15" i="27"/>
  <c r="M15" i="27"/>
  <c r="L15" i="27"/>
  <c r="F15" i="27"/>
  <c r="N14" i="27"/>
  <c r="M14" i="27"/>
  <c r="L14" i="27"/>
  <c r="F14" i="27"/>
  <c r="N13" i="27"/>
  <c r="M13" i="27"/>
  <c r="L13" i="27"/>
  <c r="F13" i="27"/>
  <c r="N12" i="27"/>
  <c r="M12" i="27"/>
  <c r="L12" i="27"/>
  <c r="F12" i="27"/>
  <c r="N11" i="27"/>
  <c r="M11" i="27"/>
  <c r="L11" i="27"/>
  <c r="F11" i="27"/>
  <c r="N10" i="27"/>
  <c r="M10" i="27"/>
  <c r="L10" i="27"/>
  <c r="F10" i="27"/>
  <c r="N9" i="27"/>
  <c r="M9" i="27"/>
  <c r="L9" i="27"/>
  <c r="F9" i="27"/>
  <c r="N8" i="27"/>
  <c r="L8" i="27"/>
  <c r="F8" i="27"/>
  <c r="M7" i="27"/>
  <c r="F7" i="27"/>
  <c r="N7" i="27"/>
  <c r="N6" i="27"/>
  <c r="M6" i="27"/>
  <c r="L6" i="27"/>
  <c r="F6" i="27"/>
  <c r="N5" i="27"/>
  <c r="M5" i="27"/>
  <c r="L5" i="27"/>
  <c r="F5" i="27"/>
  <c r="M4" i="27"/>
  <c r="I34" i="27"/>
  <c r="L4" i="27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N3" i="27"/>
  <c r="M3" i="27"/>
  <c r="L3" i="27"/>
  <c r="F3" i="27"/>
  <c r="C34" i="27"/>
  <c r="C14" i="26"/>
  <c r="C13" i="26"/>
  <c r="E7" i="26"/>
  <c r="L7" i="26" s="1"/>
  <c r="I4" i="26"/>
  <c r="E4" i="26"/>
  <c r="C4" i="26"/>
  <c r="C3" i="26"/>
  <c r="A25" i="26"/>
  <c r="A26" i="26"/>
  <c r="A27" i="26" s="1"/>
  <c r="A28" i="26" s="1"/>
  <c r="A29" i="26" s="1"/>
  <c r="A30" i="26" s="1"/>
  <c r="A31" i="26" s="1"/>
  <c r="A32" i="26" s="1"/>
  <c r="K34" i="26"/>
  <c r="J34" i="26"/>
  <c r="I34" i="26"/>
  <c r="D34" i="26"/>
  <c r="B34" i="26"/>
  <c r="N33" i="26"/>
  <c r="M33" i="26"/>
  <c r="L33" i="26"/>
  <c r="H33" i="26"/>
  <c r="G33" i="26"/>
  <c r="F33" i="26"/>
  <c r="N32" i="26"/>
  <c r="M32" i="26"/>
  <c r="L32" i="26"/>
  <c r="H32" i="26"/>
  <c r="G32" i="26"/>
  <c r="F32" i="26"/>
  <c r="N31" i="26"/>
  <c r="M31" i="26"/>
  <c r="L31" i="26"/>
  <c r="H31" i="26"/>
  <c r="G31" i="26"/>
  <c r="F31" i="26"/>
  <c r="N30" i="26"/>
  <c r="M30" i="26"/>
  <c r="L30" i="26"/>
  <c r="H30" i="26"/>
  <c r="G30" i="26"/>
  <c r="F30" i="26"/>
  <c r="N29" i="26"/>
  <c r="M29" i="26"/>
  <c r="L29" i="26"/>
  <c r="H29" i="26"/>
  <c r="G29" i="26"/>
  <c r="F29" i="26"/>
  <c r="N28" i="26"/>
  <c r="M28" i="26"/>
  <c r="L28" i="26"/>
  <c r="H28" i="26"/>
  <c r="G28" i="26"/>
  <c r="F28" i="26"/>
  <c r="N27" i="26"/>
  <c r="M27" i="26"/>
  <c r="L27" i="26"/>
  <c r="H27" i="26"/>
  <c r="G27" i="26"/>
  <c r="F27" i="26"/>
  <c r="N26" i="26"/>
  <c r="M26" i="26"/>
  <c r="L26" i="26"/>
  <c r="H26" i="26"/>
  <c r="G26" i="26"/>
  <c r="F26" i="26"/>
  <c r="N25" i="26"/>
  <c r="M25" i="26"/>
  <c r="L25" i="26"/>
  <c r="H25" i="26"/>
  <c r="G25" i="26"/>
  <c r="F25" i="26"/>
  <c r="N24" i="26"/>
  <c r="M24" i="26"/>
  <c r="L24" i="26"/>
  <c r="H24" i="26"/>
  <c r="G24" i="26"/>
  <c r="F24" i="26"/>
  <c r="N23" i="26"/>
  <c r="M23" i="26"/>
  <c r="L23" i="26"/>
  <c r="H23" i="26"/>
  <c r="G23" i="26"/>
  <c r="F23" i="26"/>
  <c r="N22" i="26"/>
  <c r="M22" i="26"/>
  <c r="L22" i="26"/>
  <c r="H22" i="26"/>
  <c r="G22" i="26"/>
  <c r="F22" i="26"/>
  <c r="N21" i="26"/>
  <c r="M21" i="26"/>
  <c r="L21" i="26"/>
  <c r="H21" i="26"/>
  <c r="G21" i="26"/>
  <c r="F21" i="26"/>
  <c r="N20" i="26"/>
  <c r="M20" i="26"/>
  <c r="L20" i="26"/>
  <c r="H20" i="26"/>
  <c r="G20" i="26"/>
  <c r="F20" i="26"/>
  <c r="N19" i="26"/>
  <c r="M19" i="26"/>
  <c r="L19" i="26"/>
  <c r="H19" i="26"/>
  <c r="G19" i="26"/>
  <c r="F19" i="26"/>
  <c r="N18" i="26"/>
  <c r="M18" i="26"/>
  <c r="L18" i="26"/>
  <c r="H18" i="26"/>
  <c r="G18" i="26"/>
  <c r="F18" i="26"/>
  <c r="N17" i="26"/>
  <c r="M17" i="26"/>
  <c r="L17" i="26"/>
  <c r="H17" i="26"/>
  <c r="G17" i="26"/>
  <c r="F17" i="26"/>
  <c r="N16" i="26"/>
  <c r="M16" i="26"/>
  <c r="L16" i="26"/>
  <c r="H16" i="26"/>
  <c r="G16" i="26"/>
  <c r="F16" i="26"/>
  <c r="N15" i="26"/>
  <c r="M15" i="26"/>
  <c r="L15" i="26"/>
  <c r="H15" i="26"/>
  <c r="G15" i="26"/>
  <c r="F15" i="26"/>
  <c r="N14" i="26"/>
  <c r="M14" i="26"/>
  <c r="L14" i="26"/>
  <c r="H14" i="26"/>
  <c r="G14" i="26"/>
  <c r="F14" i="26"/>
  <c r="N13" i="26"/>
  <c r="M13" i="26"/>
  <c r="L13" i="26"/>
  <c r="H13" i="26"/>
  <c r="G13" i="26"/>
  <c r="F13" i="26"/>
  <c r="N12" i="26"/>
  <c r="M12" i="26"/>
  <c r="L12" i="26"/>
  <c r="H12" i="26"/>
  <c r="G12" i="26"/>
  <c r="F12" i="26"/>
  <c r="N11" i="26"/>
  <c r="M11" i="26"/>
  <c r="L11" i="26"/>
  <c r="H11" i="26"/>
  <c r="G11" i="26"/>
  <c r="F11" i="26"/>
  <c r="N10" i="26"/>
  <c r="M10" i="26"/>
  <c r="L10" i="26"/>
  <c r="H10" i="26"/>
  <c r="G10" i="26"/>
  <c r="F10" i="26"/>
  <c r="N9" i="26"/>
  <c r="M9" i="26"/>
  <c r="L9" i="26"/>
  <c r="H9" i="26"/>
  <c r="G9" i="26"/>
  <c r="F9" i="26"/>
  <c r="N8" i="26"/>
  <c r="L8" i="26"/>
  <c r="H8" i="26"/>
  <c r="G8" i="26"/>
  <c r="F8" i="26"/>
  <c r="N7" i="26"/>
  <c r="M7" i="26"/>
  <c r="G7" i="26"/>
  <c r="N6" i="26"/>
  <c r="M6" i="26"/>
  <c r="L6" i="26"/>
  <c r="H6" i="26"/>
  <c r="G6" i="26"/>
  <c r="F6" i="26"/>
  <c r="N5" i="26"/>
  <c r="M5" i="26"/>
  <c r="L5" i="26"/>
  <c r="H5" i="26"/>
  <c r="G5" i="26"/>
  <c r="F5" i="26"/>
  <c r="M4" i="26"/>
  <c r="L4" i="26"/>
  <c r="G4" i="26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N3" i="26"/>
  <c r="M3" i="26"/>
  <c r="L3" i="26"/>
  <c r="G3" i="26"/>
  <c r="F3" i="26"/>
  <c r="K34" i="25"/>
  <c r="J34" i="25"/>
  <c r="I34" i="25"/>
  <c r="E34" i="25"/>
  <c r="D34" i="25"/>
  <c r="C34" i="25"/>
  <c r="B34" i="25"/>
  <c r="F34" i="24"/>
  <c r="F33" i="24"/>
  <c r="F32" i="24"/>
  <c r="F31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F4" i="24"/>
  <c r="F3" i="24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3" i="25"/>
  <c r="C17" i="25"/>
  <c r="H17" i="25" s="1"/>
  <c r="E3" i="25"/>
  <c r="H3" i="25" s="1"/>
  <c r="G33" i="25"/>
  <c r="H33" i="25"/>
  <c r="L33" i="25"/>
  <c r="M33" i="25"/>
  <c r="N33" i="25"/>
  <c r="N32" i="25"/>
  <c r="M32" i="25"/>
  <c r="L32" i="25"/>
  <c r="H32" i="25"/>
  <c r="G32" i="25"/>
  <c r="N31" i="25"/>
  <c r="M31" i="25"/>
  <c r="G31" i="25"/>
  <c r="L31" i="25"/>
  <c r="N30" i="25"/>
  <c r="M30" i="25"/>
  <c r="L30" i="25"/>
  <c r="G30" i="25"/>
  <c r="H30" i="25"/>
  <c r="N29" i="25"/>
  <c r="M29" i="25"/>
  <c r="L29" i="25"/>
  <c r="H29" i="25"/>
  <c r="G29" i="25"/>
  <c r="N28" i="25"/>
  <c r="M28" i="25"/>
  <c r="L28" i="25"/>
  <c r="H28" i="25"/>
  <c r="G28" i="25"/>
  <c r="N27" i="25"/>
  <c r="M27" i="25"/>
  <c r="L27" i="25"/>
  <c r="H27" i="25"/>
  <c r="G27" i="25"/>
  <c r="M26" i="25"/>
  <c r="G26" i="25"/>
  <c r="N26" i="25"/>
  <c r="N25" i="25"/>
  <c r="M25" i="25"/>
  <c r="L25" i="25"/>
  <c r="G25" i="25"/>
  <c r="H25" i="25"/>
  <c r="N24" i="25"/>
  <c r="M24" i="25"/>
  <c r="L24" i="25"/>
  <c r="H24" i="25"/>
  <c r="G24" i="25"/>
  <c r="N23" i="25"/>
  <c r="M23" i="25"/>
  <c r="L23" i="25"/>
  <c r="G23" i="25"/>
  <c r="H23" i="25"/>
  <c r="N22" i="25"/>
  <c r="M22" i="25"/>
  <c r="L22" i="25"/>
  <c r="H22" i="25"/>
  <c r="G22" i="25"/>
  <c r="N21" i="25"/>
  <c r="M21" i="25"/>
  <c r="L21" i="25"/>
  <c r="H21" i="25"/>
  <c r="G21" i="25"/>
  <c r="N20" i="25"/>
  <c r="M20" i="25"/>
  <c r="L20" i="25"/>
  <c r="H20" i="25"/>
  <c r="G20" i="25"/>
  <c r="N19" i="25"/>
  <c r="M19" i="25"/>
  <c r="L19" i="25"/>
  <c r="H19" i="25"/>
  <c r="G19" i="25"/>
  <c r="M18" i="25"/>
  <c r="L18" i="25"/>
  <c r="N18" i="25"/>
  <c r="H18" i="25"/>
  <c r="G18" i="25"/>
  <c r="M17" i="25"/>
  <c r="G17" i="25"/>
  <c r="M16" i="25"/>
  <c r="G16" i="25"/>
  <c r="N16" i="25"/>
  <c r="L15" i="25"/>
  <c r="N15" i="25"/>
  <c r="M15" i="25"/>
  <c r="H15" i="25"/>
  <c r="G15" i="25"/>
  <c r="M14" i="25"/>
  <c r="G14" i="25"/>
  <c r="N14" i="25"/>
  <c r="G13" i="25"/>
  <c r="N13" i="25"/>
  <c r="M12" i="25"/>
  <c r="G12" i="25"/>
  <c r="N12" i="25"/>
  <c r="N11" i="25"/>
  <c r="M11" i="25"/>
  <c r="L11" i="25"/>
  <c r="H11" i="25"/>
  <c r="G11" i="25"/>
  <c r="N10" i="25"/>
  <c r="M10" i="25"/>
  <c r="L10" i="25"/>
  <c r="H10" i="25"/>
  <c r="G10" i="25"/>
  <c r="M9" i="25"/>
  <c r="L9" i="25"/>
  <c r="N9" i="25"/>
  <c r="H9" i="25"/>
  <c r="G9" i="25"/>
  <c r="N8" i="25"/>
  <c r="L8" i="25"/>
  <c r="H8" i="25"/>
  <c r="G8" i="25"/>
  <c r="M7" i="25"/>
  <c r="G7" i="25"/>
  <c r="H7" i="25"/>
  <c r="N6" i="25"/>
  <c r="M6" i="25"/>
  <c r="L6" i="25"/>
  <c r="H6" i="25"/>
  <c r="G6" i="25"/>
  <c r="N5" i="25"/>
  <c r="M5" i="25"/>
  <c r="G5" i="25"/>
  <c r="L5" i="25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N4" i="25"/>
  <c r="M4" i="25"/>
  <c r="G4" i="25"/>
  <c r="L4" i="25"/>
  <c r="A4" i="25"/>
  <c r="N3" i="25"/>
  <c r="M3" i="25"/>
  <c r="L3" i="25"/>
  <c r="G3" i="25"/>
  <c r="E31" i="24"/>
  <c r="H31" i="24" s="1"/>
  <c r="J30" i="24"/>
  <c r="M30" i="24" s="1"/>
  <c r="E30" i="24"/>
  <c r="C30" i="24"/>
  <c r="J29" i="24"/>
  <c r="M29" i="24" s="1"/>
  <c r="I26" i="24"/>
  <c r="E26" i="24"/>
  <c r="L26" i="24" s="1"/>
  <c r="C25" i="24"/>
  <c r="H25" i="24" s="1"/>
  <c r="D33" i="24"/>
  <c r="K23" i="24"/>
  <c r="N23" i="24" s="1"/>
  <c r="J23" i="24"/>
  <c r="M23" i="24" s="1"/>
  <c r="C23" i="24"/>
  <c r="H23" i="24" s="1"/>
  <c r="E20" i="24"/>
  <c r="C20" i="24"/>
  <c r="E19" i="24"/>
  <c r="N19" i="24" s="1"/>
  <c r="C19" i="24"/>
  <c r="H19" i="24" s="1"/>
  <c r="K18" i="24"/>
  <c r="N18" i="24" s="1"/>
  <c r="E17" i="24"/>
  <c r="L17" i="24" s="1"/>
  <c r="K16" i="24"/>
  <c r="E16" i="24"/>
  <c r="H16" i="24" s="1"/>
  <c r="K15" i="24"/>
  <c r="N15" i="24" s="1"/>
  <c r="J15" i="24"/>
  <c r="M15" i="24" s="1"/>
  <c r="E14" i="24"/>
  <c r="N14" i="24" s="1"/>
  <c r="J13" i="24"/>
  <c r="M13" i="24" s="1"/>
  <c r="E13" i="24"/>
  <c r="L13" i="24" s="1"/>
  <c r="E12" i="24"/>
  <c r="N12" i="24" s="1"/>
  <c r="K9" i="24"/>
  <c r="E9" i="24"/>
  <c r="L9" i="24" s="1"/>
  <c r="E8" i="24"/>
  <c r="E7" i="24"/>
  <c r="N7" i="24" s="1"/>
  <c r="E5" i="24"/>
  <c r="N5" i="24" s="1"/>
  <c r="E4" i="24"/>
  <c r="N4" i="24" s="1"/>
  <c r="I33" i="24"/>
  <c r="B33" i="24"/>
  <c r="N32" i="24"/>
  <c r="M32" i="24"/>
  <c r="L32" i="24"/>
  <c r="H32" i="24"/>
  <c r="G32" i="24"/>
  <c r="M31" i="24"/>
  <c r="L31" i="24"/>
  <c r="G31" i="24"/>
  <c r="N30" i="24"/>
  <c r="L30" i="24"/>
  <c r="H30" i="24"/>
  <c r="G30" i="24"/>
  <c r="N29" i="24"/>
  <c r="L29" i="24"/>
  <c r="H29" i="24"/>
  <c r="G29" i="24"/>
  <c r="N28" i="24"/>
  <c r="M28" i="24"/>
  <c r="L28" i="24"/>
  <c r="H28" i="24"/>
  <c r="G28" i="24"/>
  <c r="N27" i="24"/>
  <c r="M27" i="24"/>
  <c r="L27" i="24"/>
  <c r="H27" i="24"/>
  <c r="G27" i="24"/>
  <c r="M26" i="24"/>
  <c r="G26" i="24"/>
  <c r="N25" i="24"/>
  <c r="M25" i="24"/>
  <c r="L25" i="24"/>
  <c r="G25" i="24"/>
  <c r="N24" i="24"/>
  <c r="M24" i="24"/>
  <c r="L24" i="24"/>
  <c r="H24" i="24"/>
  <c r="L23" i="24"/>
  <c r="G23" i="24"/>
  <c r="N22" i="24"/>
  <c r="M22" i="24"/>
  <c r="L22" i="24"/>
  <c r="H22" i="24"/>
  <c r="G22" i="24"/>
  <c r="N21" i="24"/>
  <c r="M21" i="24"/>
  <c r="L21" i="24"/>
  <c r="H21" i="24"/>
  <c r="G21" i="24"/>
  <c r="N20" i="24"/>
  <c r="M20" i="24"/>
  <c r="L20" i="24"/>
  <c r="G20" i="24"/>
  <c r="M19" i="24"/>
  <c r="G19" i="24"/>
  <c r="M18" i="24"/>
  <c r="L18" i="24"/>
  <c r="H18" i="24"/>
  <c r="G18" i="24"/>
  <c r="M17" i="24"/>
  <c r="G17" i="24"/>
  <c r="M16" i="24"/>
  <c r="G16" i="24"/>
  <c r="L15" i="24"/>
  <c r="H15" i="24"/>
  <c r="G15" i="24"/>
  <c r="M14" i="24"/>
  <c r="G14" i="24"/>
  <c r="G13" i="24"/>
  <c r="M12" i="24"/>
  <c r="G12" i="24"/>
  <c r="N11" i="24"/>
  <c r="M11" i="24"/>
  <c r="L11" i="24"/>
  <c r="H11" i="24"/>
  <c r="G11" i="24"/>
  <c r="N10" i="24"/>
  <c r="M10" i="24"/>
  <c r="L10" i="24"/>
  <c r="H10" i="24"/>
  <c r="G10" i="24"/>
  <c r="N9" i="24"/>
  <c r="M9" i="24"/>
  <c r="H9" i="24"/>
  <c r="G9" i="24"/>
  <c r="N8" i="24"/>
  <c r="M8" i="24"/>
  <c r="L8" i="24"/>
  <c r="H8" i="24"/>
  <c r="G8" i="24"/>
  <c r="M7" i="24"/>
  <c r="L7" i="24"/>
  <c r="H7" i="24"/>
  <c r="G7" i="24"/>
  <c r="N6" i="24"/>
  <c r="M6" i="24"/>
  <c r="L6" i="24"/>
  <c r="H6" i="24"/>
  <c r="G6" i="24"/>
  <c r="M5" i="24"/>
  <c r="L5" i="24"/>
  <c r="H5" i="24"/>
  <c r="G5" i="24"/>
  <c r="M4" i="24"/>
  <c r="G4" i="24"/>
  <c r="A4" i="24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N3" i="24"/>
  <c r="M3" i="24"/>
  <c r="L3" i="24"/>
  <c r="H3" i="24"/>
  <c r="G3" i="24"/>
  <c r="H34" i="30" l="1"/>
  <c r="J37" i="30"/>
  <c r="M34" i="30"/>
  <c r="N34" i="30"/>
  <c r="F35" i="30"/>
  <c r="L35" i="30"/>
  <c r="H34" i="29"/>
  <c r="G34" i="29"/>
  <c r="J37" i="29"/>
  <c r="M34" i="29"/>
  <c r="N34" i="29"/>
  <c r="F35" i="29"/>
  <c r="L35" i="29"/>
  <c r="J38" i="28"/>
  <c r="J37" i="28"/>
  <c r="N34" i="28"/>
  <c r="F35" i="28"/>
  <c r="M34" i="28"/>
  <c r="H34" i="28"/>
  <c r="L34" i="28"/>
  <c r="L35" i="28"/>
  <c r="G34" i="27"/>
  <c r="M34" i="27"/>
  <c r="J38" i="27"/>
  <c r="N4" i="27"/>
  <c r="N34" i="27" s="1"/>
  <c r="E34" i="27"/>
  <c r="F4" i="27"/>
  <c r="H34" i="27"/>
  <c r="L7" i="27"/>
  <c r="L35" i="27" s="1"/>
  <c r="F7" i="26"/>
  <c r="H7" i="26"/>
  <c r="E34" i="26"/>
  <c r="F34" i="26" s="1"/>
  <c r="F35" i="26" s="1"/>
  <c r="N4" i="26"/>
  <c r="F4" i="26"/>
  <c r="H4" i="26"/>
  <c r="C34" i="26"/>
  <c r="J38" i="26"/>
  <c r="J37" i="26"/>
  <c r="N34" i="26"/>
  <c r="G34" i="26"/>
  <c r="M34" i="26"/>
  <c r="L34" i="26"/>
  <c r="H3" i="26"/>
  <c r="L35" i="26"/>
  <c r="N26" i="24"/>
  <c r="N13" i="24"/>
  <c r="L19" i="24"/>
  <c r="N16" i="24"/>
  <c r="H4" i="24"/>
  <c r="L4" i="24"/>
  <c r="L16" i="24"/>
  <c r="J38" i="25"/>
  <c r="G34" i="25"/>
  <c r="L7" i="25"/>
  <c r="H26" i="25"/>
  <c r="H14" i="25"/>
  <c r="H12" i="25"/>
  <c r="L14" i="25"/>
  <c r="L16" i="25"/>
  <c r="L26" i="25"/>
  <c r="H5" i="25"/>
  <c r="N7" i="25"/>
  <c r="L12" i="25"/>
  <c r="L13" i="25"/>
  <c r="N17" i="25"/>
  <c r="H16" i="25"/>
  <c r="L17" i="25"/>
  <c r="H4" i="25"/>
  <c r="M13" i="25"/>
  <c r="M34" i="25" s="1"/>
  <c r="H31" i="25"/>
  <c r="H13" i="25"/>
  <c r="L12" i="24"/>
  <c r="N31" i="24"/>
  <c r="H12" i="24"/>
  <c r="N17" i="24"/>
  <c r="H13" i="24"/>
  <c r="H17" i="24"/>
  <c r="H26" i="24"/>
  <c r="J33" i="24"/>
  <c r="C33" i="24"/>
  <c r="G24" i="24"/>
  <c r="G33" i="24" s="1"/>
  <c r="H20" i="24"/>
  <c r="K33" i="24"/>
  <c r="L14" i="24"/>
  <c r="H14" i="24"/>
  <c r="E33" i="24"/>
  <c r="M33" i="24"/>
  <c r="A31" i="22"/>
  <c r="A32" i="22"/>
  <c r="A33" i="22" s="1"/>
  <c r="J34" i="22"/>
  <c r="I34" i="22"/>
  <c r="H34" i="22"/>
  <c r="E34" i="22"/>
  <c r="D34" i="22"/>
  <c r="C34" i="22"/>
  <c r="B34" i="22"/>
  <c r="M33" i="22"/>
  <c r="L33" i="22"/>
  <c r="K33" i="22"/>
  <c r="G33" i="22"/>
  <c r="F33" i="22"/>
  <c r="M32" i="22"/>
  <c r="L32" i="22"/>
  <c r="K32" i="22"/>
  <c r="G32" i="22"/>
  <c r="F32" i="22"/>
  <c r="M31" i="22"/>
  <c r="L31" i="22"/>
  <c r="K31" i="22"/>
  <c r="G31" i="22"/>
  <c r="F31" i="22"/>
  <c r="M30" i="22"/>
  <c r="L30" i="22"/>
  <c r="K30" i="22"/>
  <c r="G30" i="22"/>
  <c r="F30" i="22"/>
  <c r="M29" i="22"/>
  <c r="L29" i="22"/>
  <c r="K29" i="22"/>
  <c r="G29" i="22"/>
  <c r="F29" i="22"/>
  <c r="M28" i="22"/>
  <c r="L28" i="22"/>
  <c r="K28" i="22"/>
  <c r="G28" i="22"/>
  <c r="F28" i="22"/>
  <c r="M27" i="22"/>
  <c r="L27" i="22"/>
  <c r="K27" i="22"/>
  <c r="G27" i="22"/>
  <c r="F27" i="22"/>
  <c r="M26" i="22"/>
  <c r="L26" i="22"/>
  <c r="K26" i="22"/>
  <c r="G26" i="22"/>
  <c r="F26" i="22"/>
  <c r="M25" i="22"/>
  <c r="L25" i="22"/>
  <c r="K25" i="22"/>
  <c r="G25" i="22"/>
  <c r="F25" i="22"/>
  <c r="M24" i="22"/>
  <c r="L24" i="22"/>
  <c r="K24" i="22"/>
  <c r="G24" i="22"/>
  <c r="F24" i="22"/>
  <c r="M23" i="22"/>
  <c r="L23" i="22"/>
  <c r="K23" i="22"/>
  <c r="G23" i="22"/>
  <c r="F23" i="22"/>
  <c r="M22" i="22"/>
  <c r="L22" i="22"/>
  <c r="K22" i="22"/>
  <c r="G22" i="22"/>
  <c r="F22" i="22"/>
  <c r="M21" i="22"/>
  <c r="L21" i="22"/>
  <c r="K21" i="22"/>
  <c r="G21" i="22"/>
  <c r="F21" i="22"/>
  <c r="M20" i="22"/>
  <c r="L20" i="22"/>
  <c r="K20" i="22"/>
  <c r="G20" i="22"/>
  <c r="F20" i="22"/>
  <c r="M19" i="22"/>
  <c r="L19" i="22"/>
  <c r="K19" i="22"/>
  <c r="G19" i="22"/>
  <c r="F19" i="22"/>
  <c r="M18" i="22"/>
  <c r="L18" i="22"/>
  <c r="K18" i="22"/>
  <c r="G18" i="22"/>
  <c r="F18" i="22"/>
  <c r="M17" i="22"/>
  <c r="L17" i="22"/>
  <c r="K17" i="22"/>
  <c r="G17" i="22"/>
  <c r="F17" i="22"/>
  <c r="M16" i="22"/>
  <c r="L16" i="22"/>
  <c r="K16" i="22"/>
  <c r="G16" i="22"/>
  <c r="F16" i="22"/>
  <c r="M15" i="22"/>
  <c r="L15" i="22"/>
  <c r="K15" i="22"/>
  <c r="G15" i="22"/>
  <c r="F15" i="22"/>
  <c r="M14" i="22"/>
  <c r="L14" i="22"/>
  <c r="K14" i="22"/>
  <c r="G14" i="22"/>
  <c r="F14" i="22"/>
  <c r="M13" i="22"/>
  <c r="L13" i="22"/>
  <c r="K13" i="22"/>
  <c r="G13" i="22"/>
  <c r="F13" i="22"/>
  <c r="M12" i="22"/>
  <c r="L12" i="22"/>
  <c r="K12" i="22"/>
  <c r="G12" i="22"/>
  <c r="F12" i="22"/>
  <c r="M11" i="22"/>
  <c r="L11" i="22"/>
  <c r="K11" i="22"/>
  <c r="G11" i="22"/>
  <c r="F11" i="22"/>
  <c r="M10" i="22"/>
  <c r="L10" i="22"/>
  <c r="K10" i="22"/>
  <c r="G10" i="22"/>
  <c r="F10" i="22"/>
  <c r="M9" i="22"/>
  <c r="L9" i="22"/>
  <c r="K9" i="22"/>
  <c r="G9" i="22"/>
  <c r="F9" i="22"/>
  <c r="M8" i="22"/>
  <c r="L8" i="22"/>
  <c r="K8" i="22"/>
  <c r="G8" i="22"/>
  <c r="F8" i="22"/>
  <c r="M7" i="22"/>
  <c r="L7" i="22"/>
  <c r="K7" i="22"/>
  <c r="G7" i="22"/>
  <c r="F7" i="22"/>
  <c r="M6" i="22"/>
  <c r="L6" i="22"/>
  <c r="K6" i="22"/>
  <c r="G6" i="22"/>
  <c r="F6" i="22"/>
  <c r="M5" i="22"/>
  <c r="L5" i="22"/>
  <c r="K5" i="22"/>
  <c r="G5" i="22"/>
  <c r="F5" i="22"/>
  <c r="M4" i="22"/>
  <c r="L4" i="22"/>
  <c r="K4" i="22"/>
  <c r="G4" i="22"/>
  <c r="F4" i="22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M3" i="22"/>
  <c r="L3" i="22"/>
  <c r="K3" i="22"/>
  <c r="G3" i="22"/>
  <c r="F3" i="22"/>
  <c r="J39" i="30" l="1"/>
  <c r="J39" i="29"/>
  <c r="J39" i="28"/>
  <c r="J39" i="27"/>
  <c r="L34" i="27"/>
  <c r="F34" i="27"/>
  <c r="F35" i="27" s="1"/>
  <c r="J37" i="27"/>
  <c r="H34" i="26"/>
  <c r="J39" i="26"/>
  <c r="F34" i="25"/>
  <c r="F35" i="25" s="1"/>
  <c r="N33" i="24"/>
  <c r="J38" i="24" s="1"/>
  <c r="J37" i="25"/>
  <c r="H34" i="25"/>
  <c r="N34" i="25"/>
  <c r="J39" i="25" s="1"/>
  <c r="L34" i="25"/>
  <c r="L35" i="25"/>
  <c r="J36" i="24"/>
  <c r="J37" i="24"/>
  <c r="H33" i="24"/>
  <c r="L34" i="24"/>
  <c r="L33" i="24"/>
  <c r="I38" i="22"/>
  <c r="F34" i="22"/>
  <c r="G34" i="22"/>
  <c r="I37" i="22"/>
  <c r="L34" i="22"/>
  <c r="M34" i="22"/>
  <c r="K34" i="22"/>
  <c r="K35" i="22"/>
  <c r="K14" i="21"/>
  <c r="F14" i="21"/>
  <c r="I39" i="22" l="1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3" i="19"/>
  <c r="N32" i="19"/>
  <c r="H32" i="19"/>
  <c r="H34" i="21"/>
  <c r="B34" i="21"/>
  <c r="C34" i="21"/>
  <c r="D34" i="21"/>
  <c r="E34" i="21"/>
  <c r="J34" i="21"/>
  <c r="M33" i="21"/>
  <c r="L33" i="21"/>
  <c r="K33" i="21"/>
  <c r="G33" i="21"/>
  <c r="F33" i="21"/>
  <c r="M32" i="21"/>
  <c r="L32" i="21"/>
  <c r="K32" i="21"/>
  <c r="G32" i="21"/>
  <c r="F32" i="21"/>
  <c r="M31" i="21"/>
  <c r="L31" i="21"/>
  <c r="K31" i="21"/>
  <c r="G31" i="21"/>
  <c r="F31" i="21"/>
  <c r="M30" i="21"/>
  <c r="L30" i="21"/>
  <c r="K30" i="21"/>
  <c r="G30" i="21"/>
  <c r="F30" i="21"/>
  <c r="M29" i="21"/>
  <c r="L29" i="21"/>
  <c r="K29" i="21"/>
  <c r="G29" i="21"/>
  <c r="F29" i="21"/>
  <c r="M28" i="21"/>
  <c r="L28" i="21"/>
  <c r="K28" i="21"/>
  <c r="G28" i="21"/>
  <c r="F28" i="21"/>
  <c r="M27" i="21"/>
  <c r="L27" i="21"/>
  <c r="K27" i="21"/>
  <c r="G27" i="21"/>
  <c r="F27" i="21"/>
  <c r="M26" i="21"/>
  <c r="L26" i="21"/>
  <c r="K26" i="21"/>
  <c r="G26" i="21"/>
  <c r="F26" i="21"/>
  <c r="M25" i="21"/>
  <c r="L25" i="21"/>
  <c r="K25" i="21"/>
  <c r="G25" i="21"/>
  <c r="F25" i="21"/>
  <c r="M24" i="21"/>
  <c r="L24" i="21"/>
  <c r="K24" i="21"/>
  <c r="G24" i="21"/>
  <c r="F24" i="21"/>
  <c r="M23" i="21"/>
  <c r="L23" i="21"/>
  <c r="K23" i="21"/>
  <c r="G23" i="21"/>
  <c r="F23" i="21"/>
  <c r="M22" i="21"/>
  <c r="L22" i="21"/>
  <c r="K22" i="21"/>
  <c r="G22" i="21"/>
  <c r="F22" i="21"/>
  <c r="M21" i="21"/>
  <c r="L21" i="21"/>
  <c r="K21" i="21"/>
  <c r="G21" i="21"/>
  <c r="F21" i="21"/>
  <c r="M20" i="21"/>
  <c r="L20" i="21"/>
  <c r="K20" i="21"/>
  <c r="G20" i="21"/>
  <c r="F20" i="21"/>
  <c r="M19" i="21"/>
  <c r="L19" i="21"/>
  <c r="K19" i="21"/>
  <c r="G19" i="21"/>
  <c r="F19" i="21"/>
  <c r="M18" i="21"/>
  <c r="L18" i="21"/>
  <c r="K18" i="21"/>
  <c r="G18" i="21"/>
  <c r="F18" i="21"/>
  <c r="M17" i="21"/>
  <c r="L17" i="21"/>
  <c r="K17" i="21"/>
  <c r="G17" i="21"/>
  <c r="F17" i="21"/>
  <c r="M16" i="21"/>
  <c r="L16" i="21"/>
  <c r="K16" i="21"/>
  <c r="G16" i="21"/>
  <c r="F16" i="21"/>
  <c r="M15" i="21"/>
  <c r="L15" i="21"/>
  <c r="K15" i="21"/>
  <c r="G15" i="21"/>
  <c r="F15" i="21"/>
  <c r="M14" i="21"/>
  <c r="L14" i="21"/>
  <c r="G14" i="21"/>
  <c r="M13" i="21"/>
  <c r="L13" i="21"/>
  <c r="K13" i="21"/>
  <c r="G13" i="21"/>
  <c r="F13" i="21"/>
  <c r="M12" i="21"/>
  <c r="L12" i="21"/>
  <c r="K12" i="21"/>
  <c r="G12" i="21"/>
  <c r="F12" i="21"/>
  <c r="M11" i="21"/>
  <c r="L11" i="21"/>
  <c r="K11" i="21"/>
  <c r="G11" i="21"/>
  <c r="F11" i="21"/>
  <c r="M10" i="21"/>
  <c r="L10" i="21"/>
  <c r="K10" i="21"/>
  <c r="G10" i="21"/>
  <c r="F10" i="21"/>
  <c r="M9" i="21"/>
  <c r="L9" i="21"/>
  <c r="K9" i="21"/>
  <c r="G9" i="21"/>
  <c r="F9" i="21"/>
  <c r="M8" i="21"/>
  <c r="L8" i="21"/>
  <c r="K8" i="21"/>
  <c r="G8" i="21"/>
  <c r="F8" i="21"/>
  <c r="M7" i="21"/>
  <c r="L7" i="21"/>
  <c r="K7" i="21"/>
  <c r="G7" i="21"/>
  <c r="F7" i="21"/>
  <c r="M6" i="21"/>
  <c r="L6" i="21"/>
  <c r="K6" i="21"/>
  <c r="G6" i="21"/>
  <c r="F6" i="21"/>
  <c r="M5" i="21"/>
  <c r="L5" i="21"/>
  <c r="K5" i="21"/>
  <c r="G5" i="21"/>
  <c r="F5" i="21"/>
  <c r="M4" i="21"/>
  <c r="L4" i="21"/>
  <c r="K4" i="21"/>
  <c r="G4" i="21"/>
  <c r="F4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M3" i="21"/>
  <c r="L3" i="21"/>
  <c r="K3" i="21"/>
  <c r="I34" i="21"/>
  <c r="G3" i="21"/>
  <c r="F3" i="21"/>
  <c r="H33" i="19"/>
  <c r="I38" i="21" l="1"/>
  <c r="G34" i="21"/>
  <c r="I37" i="21"/>
  <c r="F34" i="21"/>
  <c r="L34" i="21"/>
  <c r="M34" i="21"/>
  <c r="K34" i="21"/>
  <c r="K35" i="21"/>
  <c r="I3" i="19"/>
  <c r="I34" i="19" s="1"/>
  <c r="J34" i="19"/>
  <c r="H34" i="19"/>
  <c r="O34" i="19" s="1"/>
  <c r="M33" i="19"/>
  <c r="L33" i="19"/>
  <c r="K33" i="19"/>
  <c r="G33" i="19"/>
  <c r="F33" i="19"/>
  <c r="M32" i="19"/>
  <c r="L32" i="19"/>
  <c r="K32" i="19"/>
  <c r="G32" i="19"/>
  <c r="F32" i="19"/>
  <c r="M31" i="19"/>
  <c r="L31" i="19"/>
  <c r="K31" i="19"/>
  <c r="G31" i="19"/>
  <c r="F31" i="19"/>
  <c r="M30" i="19"/>
  <c r="L30" i="19"/>
  <c r="K30" i="19"/>
  <c r="G30" i="19"/>
  <c r="F30" i="19"/>
  <c r="M29" i="19"/>
  <c r="L29" i="19"/>
  <c r="K29" i="19"/>
  <c r="G29" i="19"/>
  <c r="F29" i="19"/>
  <c r="M28" i="19"/>
  <c r="L28" i="19"/>
  <c r="K28" i="19"/>
  <c r="G28" i="19"/>
  <c r="F28" i="19"/>
  <c r="M27" i="19"/>
  <c r="L27" i="19"/>
  <c r="K27" i="19"/>
  <c r="G27" i="19"/>
  <c r="F27" i="19"/>
  <c r="M26" i="19"/>
  <c r="L26" i="19"/>
  <c r="K26" i="19"/>
  <c r="G26" i="19"/>
  <c r="F26" i="19"/>
  <c r="M25" i="19"/>
  <c r="L25" i="19"/>
  <c r="K25" i="19"/>
  <c r="G25" i="19"/>
  <c r="F25" i="19"/>
  <c r="M24" i="19"/>
  <c r="L24" i="19"/>
  <c r="K24" i="19"/>
  <c r="G24" i="19"/>
  <c r="F24" i="19"/>
  <c r="M23" i="19"/>
  <c r="L23" i="19"/>
  <c r="K23" i="19"/>
  <c r="G23" i="19"/>
  <c r="F23" i="19"/>
  <c r="M22" i="19"/>
  <c r="L22" i="19"/>
  <c r="K22" i="19"/>
  <c r="G22" i="19"/>
  <c r="F22" i="19"/>
  <c r="M21" i="19"/>
  <c r="L21" i="19"/>
  <c r="K21" i="19"/>
  <c r="G21" i="19"/>
  <c r="F21" i="19"/>
  <c r="M20" i="19"/>
  <c r="L20" i="19"/>
  <c r="K20" i="19"/>
  <c r="G20" i="19"/>
  <c r="F20" i="19"/>
  <c r="M19" i="19"/>
  <c r="L19" i="19"/>
  <c r="K19" i="19"/>
  <c r="G19" i="19"/>
  <c r="F19" i="19"/>
  <c r="M18" i="19"/>
  <c r="L18" i="19"/>
  <c r="K18" i="19"/>
  <c r="G18" i="19"/>
  <c r="F18" i="19"/>
  <c r="M17" i="19"/>
  <c r="L17" i="19"/>
  <c r="K17" i="19"/>
  <c r="G17" i="19"/>
  <c r="F17" i="19"/>
  <c r="M16" i="19"/>
  <c r="L16" i="19"/>
  <c r="K16" i="19"/>
  <c r="G16" i="19"/>
  <c r="F16" i="19"/>
  <c r="M15" i="19"/>
  <c r="L15" i="19"/>
  <c r="K15" i="19"/>
  <c r="G15" i="19"/>
  <c r="F15" i="19"/>
  <c r="M14" i="19"/>
  <c r="L14" i="19"/>
  <c r="K14" i="19"/>
  <c r="G14" i="19"/>
  <c r="F14" i="19"/>
  <c r="M13" i="19"/>
  <c r="L13" i="19"/>
  <c r="K13" i="19"/>
  <c r="G13" i="19"/>
  <c r="F13" i="19"/>
  <c r="M12" i="19"/>
  <c r="L12" i="19"/>
  <c r="K12" i="19"/>
  <c r="G12" i="19"/>
  <c r="F12" i="19"/>
  <c r="M11" i="19"/>
  <c r="L11" i="19"/>
  <c r="K11" i="19"/>
  <c r="G11" i="19"/>
  <c r="F11" i="19"/>
  <c r="M10" i="19"/>
  <c r="L10" i="19"/>
  <c r="K10" i="19"/>
  <c r="G10" i="19"/>
  <c r="F10" i="19"/>
  <c r="M9" i="19"/>
  <c r="L9" i="19"/>
  <c r="K9" i="19"/>
  <c r="G9" i="19"/>
  <c r="F9" i="19"/>
  <c r="M8" i="19"/>
  <c r="L8" i="19"/>
  <c r="K8" i="19"/>
  <c r="G8" i="19"/>
  <c r="F8" i="19"/>
  <c r="M7" i="19"/>
  <c r="L7" i="19"/>
  <c r="K7" i="19"/>
  <c r="G7" i="19"/>
  <c r="F7" i="19"/>
  <c r="M6" i="19"/>
  <c r="L6" i="19"/>
  <c r="K6" i="19"/>
  <c r="G6" i="19"/>
  <c r="F6" i="19"/>
  <c r="M5" i="19"/>
  <c r="L5" i="19"/>
  <c r="K5" i="19"/>
  <c r="G5" i="19"/>
  <c r="F5" i="19"/>
  <c r="M4" i="19"/>
  <c r="L4" i="19"/>
  <c r="K4" i="19"/>
  <c r="G4" i="19"/>
  <c r="F4" i="19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M3" i="19"/>
  <c r="L3" i="19"/>
  <c r="K3" i="19"/>
  <c r="G3" i="19"/>
  <c r="F3" i="19"/>
  <c r="K35" i="19" l="1"/>
  <c r="I39" i="21"/>
  <c r="I38" i="19"/>
  <c r="M34" i="19"/>
  <c r="L34" i="19"/>
  <c r="F34" i="19"/>
  <c r="G34" i="19"/>
  <c r="K34" i="19"/>
  <c r="I37" i="19"/>
  <c r="H34" i="18"/>
  <c r="D34" i="18"/>
  <c r="I34" i="18"/>
  <c r="E34" i="18"/>
  <c r="C34" i="18"/>
  <c r="B34" i="18"/>
  <c r="M33" i="18"/>
  <c r="L33" i="18"/>
  <c r="K33" i="18"/>
  <c r="G33" i="18"/>
  <c r="F33" i="18"/>
  <c r="M32" i="18"/>
  <c r="L32" i="18"/>
  <c r="K32" i="18"/>
  <c r="G32" i="18"/>
  <c r="F32" i="18"/>
  <c r="M31" i="18"/>
  <c r="L31" i="18"/>
  <c r="K31" i="18"/>
  <c r="G31" i="18"/>
  <c r="F31" i="18"/>
  <c r="M30" i="18"/>
  <c r="L30" i="18"/>
  <c r="K30" i="18"/>
  <c r="G30" i="18"/>
  <c r="F30" i="18"/>
  <c r="M29" i="18"/>
  <c r="L29" i="18"/>
  <c r="K29" i="18"/>
  <c r="G29" i="18"/>
  <c r="F29" i="18"/>
  <c r="M28" i="18"/>
  <c r="L28" i="18"/>
  <c r="K28" i="18"/>
  <c r="G28" i="18"/>
  <c r="F28" i="18"/>
  <c r="M27" i="18"/>
  <c r="L27" i="18"/>
  <c r="K27" i="18"/>
  <c r="G27" i="18"/>
  <c r="F27" i="18"/>
  <c r="M26" i="18"/>
  <c r="L26" i="18"/>
  <c r="K26" i="18"/>
  <c r="G26" i="18"/>
  <c r="F26" i="18"/>
  <c r="M25" i="18"/>
  <c r="L25" i="18"/>
  <c r="K25" i="18"/>
  <c r="G25" i="18"/>
  <c r="F25" i="18"/>
  <c r="M24" i="18"/>
  <c r="L24" i="18"/>
  <c r="K24" i="18"/>
  <c r="G24" i="18"/>
  <c r="F24" i="18"/>
  <c r="M23" i="18"/>
  <c r="L23" i="18"/>
  <c r="K23" i="18"/>
  <c r="G23" i="18"/>
  <c r="F23" i="18"/>
  <c r="M22" i="18"/>
  <c r="L22" i="18"/>
  <c r="K22" i="18"/>
  <c r="G22" i="18"/>
  <c r="F22" i="18"/>
  <c r="M21" i="18"/>
  <c r="L21" i="18"/>
  <c r="K21" i="18"/>
  <c r="G21" i="18"/>
  <c r="F21" i="18"/>
  <c r="M20" i="18"/>
  <c r="L20" i="18"/>
  <c r="K20" i="18"/>
  <c r="G20" i="18"/>
  <c r="F20" i="18"/>
  <c r="M19" i="18"/>
  <c r="L19" i="18"/>
  <c r="K19" i="18"/>
  <c r="G19" i="18"/>
  <c r="F19" i="18"/>
  <c r="M18" i="18"/>
  <c r="L18" i="18"/>
  <c r="K18" i="18"/>
  <c r="G18" i="18"/>
  <c r="F18" i="18"/>
  <c r="M17" i="18"/>
  <c r="L17" i="18"/>
  <c r="K17" i="18"/>
  <c r="G17" i="18"/>
  <c r="F17" i="18"/>
  <c r="M16" i="18"/>
  <c r="L16" i="18"/>
  <c r="K16" i="18"/>
  <c r="G16" i="18"/>
  <c r="F16" i="18"/>
  <c r="M15" i="18"/>
  <c r="L15" i="18"/>
  <c r="K15" i="18"/>
  <c r="G15" i="18"/>
  <c r="F15" i="18"/>
  <c r="M14" i="18"/>
  <c r="L14" i="18"/>
  <c r="K14" i="18"/>
  <c r="G14" i="18"/>
  <c r="F14" i="18"/>
  <c r="M13" i="18"/>
  <c r="L13" i="18"/>
  <c r="K13" i="18"/>
  <c r="G13" i="18"/>
  <c r="F13" i="18"/>
  <c r="M12" i="18"/>
  <c r="L12" i="18"/>
  <c r="K12" i="18"/>
  <c r="G12" i="18"/>
  <c r="F12" i="18"/>
  <c r="M11" i="18"/>
  <c r="L11" i="18"/>
  <c r="K11" i="18"/>
  <c r="G11" i="18"/>
  <c r="F11" i="18"/>
  <c r="M10" i="18"/>
  <c r="L10" i="18"/>
  <c r="K10" i="18"/>
  <c r="G10" i="18"/>
  <c r="F10" i="18"/>
  <c r="M9" i="18"/>
  <c r="L9" i="18"/>
  <c r="K9" i="18"/>
  <c r="G9" i="18"/>
  <c r="F9" i="18"/>
  <c r="M8" i="18"/>
  <c r="L8" i="18"/>
  <c r="K8" i="18"/>
  <c r="G8" i="18"/>
  <c r="F8" i="18"/>
  <c r="M7" i="18"/>
  <c r="L7" i="18"/>
  <c r="K7" i="18"/>
  <c r="G7" i="18"/>
  <c r="F7" i="18"/>
  <c r="M6" i="18"/>
  <c r="L6" i="18"/>
  <c r="K6" i="18"/>
  <c r="G6" i="18"/>
  <c r="F6" i="18"/>
  <c r="M5" i="18"/>
  <c r="L5" i="18"/>
  <c r="K5" i="18"/>
  <c r="G5" i="18"/>
  <c r="F5" i="18"/>
  <c r="M4" i="18"/>
  <c r="L4" i="18"/>
  <c r="K4" i="18"/>
  <c r="G4" i="18"/>
  <c r="F4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M3" i="18"/>
  <c r="L3" i="18"/>
  <c r="K3" i="18"/>
  <c r="G3" i="18"/>
  <c r="F3" i="18"/>
  <c r="I39" i="19" l="1"/>
  <c r="I38" i="18"/>
  <c r="M34" i="18"/>
  <c r="G34" i="18"/>
  <c r="F34" i="18"/>
  <c r="I37" i="18"/>
  <c r="F15" i="20" s="1"/>
  <c r="L34" i="18"/>
  <c r="K34" i="18"/>
  <c r="K27" i="17"/>
  <c r="K28" i="17"/>
  <c r="K29" i="17"/>
  <c r="K30" i="17"/>
  <c r="K31" i="17"/>
  <c r="K32" i="17"/>
  <c r="K33" i="17"/>
  <c r="H34" i="16"/>
  <c r="I39" i="18" l="1"/>
  <c r="K10" i="17"/>
  <c r="K4" i="17"/>
  <c r="K5" i="17"/>
  <c r="K6" i="17"/>
  <c r="K7" i="17"/>
  <c r="K8" i="17"/>
  <c r="K9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3" i="17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J34" i="17"/>
  <c r="I34" i="17"/>
  <c r="E34" i="17"/>
  <c r="C34" i="17"/>
  <c r="B34" i="17"/>
  <c r="M33" i="17"/>
  <c r="L33" i="17"/>
  <c r="G33" i="17"/>
  <c r="F33" i="17"/>
  <c r="M32" i="17"/>
  <c r="L32" i="17"/>
  <c r="G32" i="17"/>
  <c r="F32" i="17"/>
  <c r="M31" i="17"/>
  <c r="L31" i="17"/>
  <c r="G31" i="17"/>
  <c r="F31" i="17"/>
  <c r="M30" i="17"/>
  <c r="L30" i="17"/>
  <c r="G30" i="17"/>
  <c r="F30" i="17"/>
  <c r="M29" i="17"/>
  <c r="L29" i="17"/>
  <c r="G29" i="17"/>
  <c r="F29" i="17"/>
  <c r="M28" i="17"/>
  <c r="L28" i="17"/>
  <c r="G28" i="17"/>
  <c r="F28" i="17"/>
  <c r="M27" i="17"/>
  <c r="L27" i="17"/>
  <c r="G27" i="17"/>
  <c r="F27" i="17"/>
  <c r="M26" i="17"/>
  <c r="L26" i="17"/>
  <c r="G26" i="17"/>
  <c r="F26" i="17"/>
  <c r="M25" i="17"/>
  <c r="L25" i="17"/>
  <c r="G25" i="17"/>
  <c r="F25" i="17"/>
  <c r="M24" i="17"/>
  <c r="L24" i="17"/>
  <c r="G24" i="17"/>
  <c r="F24" i="17"/>
  <c r="M23" i="17"/>
  <c r="L23" i="17"/>
  <c r="G23" i="17"/>
  <c r="F23" i="17"/>
  <c r="M22" i="17"/>
  <c r="L22" i="17"/>
  <c r="G22" i="17"/>
  <c r="F22" i="17"/>
  <c r="M21" i="17"/>
  <c r="L21" i="17"/>
  <c r="G21" i="17"/>
  <c r="F21" i="17"/>
  <c r="M20" i="17"/>
  <c r="L20" i="17"/>
  <c r="G20" i="17"/>
  <c r="F20" i="17"/>
  <c r="M19" i="17"/>
  <c r="L19" i="17"/>
  <c r="G19" i="17"/>
  <c r="F19" i="17"/>
  <c r="M18" i="17"/>
  <c r="L18" i="17"/>
  <c r="G18" i="17"/>
  <c r="F18" i="17"/>
  <c r="M17" i="17"/>
  <c r="L17" i="17"/>
  <c r="G17" i="17"/>
  <c r="F17" i="17"/>
  <c r="M16" i="17"/>
  <c r="L16" i="17"/>
  <c r="G16" i="17"/>
  <c r="F16" i="17"/>
  <c r="M15" i="17"/>
  <c r="L15" i="17"/>
  <c r="G15" i="17"/>
  <c r="F15" i="17"/>
  <c r="M14" i="17"/>
  <c r="L14" i="17"/>
  <c r="G14" i="17"/>
  <c r="F14" i="17"/>
  <c r="M13" i="17"/>
  <c r="L13" i="17"/>
  <c r="G13" i="17"/>
  <c r="F13" i="17"/>
  <c r="M12" i="17"/>
  <c r="L12" i="17"/>
  <c r="G12" i="17"/>
  <c r="F12" i="17"/>
  <c r="M11" i="17"/>
  <c r="L11" i="17"/>
  <c r="G11" i="17"/>
  <c r="F11" i="17"/>
  <c r="M10" i="17"/>
  <c r="L10" i="17"/>
  <c r="G10" i="17"/>
  <c r="F10" i="17"/>
  <c r="M9" i="17"/>
  <c r="L9" i="17"/>
  <c r="G9" i="17"/>
  <c r="F9" i="17"/>
  <c r="M8" i="17"/>
  <c r="L8" i="17"/>
  <c r="G8" i="17"/>
  <c r="F8" i="17"/>
  <c r="M7" i="17"/>
  <c r="L7" i="17"/>
  <c r="G7" i="17"/>
  <c r="F7" i="17"/>
  <c r="M6" i="17"/>
  <c r="L6" i="17"/>
  <c r="G6" i="17"/>
  <c r="F6" i="17"/>
  <c r="M5" i="17"/>
  <c r="L5" i="17"/>
  <c r="G5" i="17"/>
  <c r="F5" i="17"/>
  <c r="M4" i="17"/>
  <c r="L4" i="17"/>
  <c r="G4" i="17"/>
  <c r="F4" i="17"/>
  <c r="M3" i="17"/>
  <c r="L3" i="17"/>
  <c r="G3" i="17"/>
  <c r="F3" i="17"/>
  <c r="G33" i="16"/>
  <c r="M33" i="16"/>
  <c r="F33" i="16"/>
  <c r="K33" i="16"/>
  <c r="L33" i="16"/>
  <c r="I37" i="17" l="1"/>
  <c r="F14" i="20" s="1"/>
  <c r="I38" i="17"/>
  <c r="M34" i="17"/>
  <c r="F34" i="17"/>
  <c r="G34" i="17"/>
  <c r="L34" i="17"/>
  <c r="K34" i="17"/>
  <c r="I39" i="17" l="1"/>
  <c r="J34" i="16"/>
  <c r="I34" i="16"/>
  <c r="E34" i="16"/>
  <c r="C34" i="16"/>
  <c r="B34" i="16"/>
  <c r="M32" i="16"/>
  <c r="L32" i="16"/>
  <c r="K32" i="16"/>
  <c r="G32" i="16"/>
  <c r="F32" i="16"/>
  <c r="M31" i="16"/>
  <c r="L31" i="16"/>
  <c r="K31" i="16"/>
  <c r="G31" i="16"/>
  <c r="F31" i="16"/>
  <c r="M30" i="16"/>
  <c r="L30" i="16"/>
  <c r="K30" i="16"/>
  <c r="G30" i="16"/>
  <c r="F30" i="16"/>
  <c r="M29" i="16"/>
  <c r="L29" i="16"/>
  <c r="K29" i="16"/>
  <c r="G29" i="16"/>
  <c r="F29" i="16"/>
  <c r="M28" i="16"/>
  <c r="L28" i="16"/>
  <c r="K28" i="16"/>
  <c r="G28" i="16"/>
  <c r="F28" i="16"/>
  <c r="M27" i="16"/>
  <c r="L27" i="16"/>
  <c r="K27" i="16"/>
  <c r="G27" i="16"/>
  <c r="F27" i="16"/>
  <c r="M26" i="16"/>
  <c r="L26" i="16"/>
  <c r="K26" i="16"/>
  <c r="G26" i="16"/>
  <c r="F26" i="16"/>
  <c r="M25" i="16"/>
  <c r="L25" i="16"/>
  <c r="K25" i="16"/>
  <c r="G25" i="16"/>
  <c r="F25" i="16"/>
  <c r="M24" i="16"/>
  <c r="L24" i="16"/>
  <c r="K24" i="16"/>
  <c r="G24" i="16"/>
  <c r="F24" i="16"/>
  <c r="M23" i="16"/>
  <c r="L23" i="16"/>
  <c r="K23" i="16"/>
  <c r="G23" i="16"/>
  <c r="F23" i="16"/>
  <c r="M22" i="16"/>
  <c r="L22" i="16"/>
  <c r="K22" i="16"/>
  <c r="G22" i="16"/>
  <c r="F22" i="16"/>
  <c r="M21" i="16"/>
  <c r="L21" i="16"/>
  <c r="K21" i="16"/>
  <c r="G21" i="16"/>
  <c r="F21" i="16"/>
  <c r="M20" i="16"/>
  <c r="L20" i="16"/>
  <c r="K20" i="16"/>
  <c r="G20" i="16"/>
  <c r="F20" i="16"/>
  <c r="M19" i="16"/>
  <c r="L19" i="16"/>
  <c r="K19" i="16"/>
  <c r="G19" i="16"/>
  <c r="F19" i="16"/>
  <c r="M18" i="16"/>
  <c r="L18" i="16"/>
  <c r="K18" i="16"/>
  <c r="G18" i="16"/>
  <c r="F18" i="16"/>
  <c r="M17" i="16"/>
  <c r="L17" i="16"/>
  <c r="K17" i="16"/>
  <c r="G17" i="16"/>
  <c r="F17" i="16"/>
  <c r="M16" i="16"/>
  <c r="L16" i="16"/>
  <c r="K16" i="16"/>
  <c r="G16" i="16"/>
  <c r="F16" i="16"/>
  <c r="M15" i="16"/>
  <c r="L15" i="16"/>
  <c r="K15" i="16"/>
  <c r="G15" i="16"/>
  <c r="F15" i="16"/>
  <c r="M14" i="16"/>
  <c r="L14" i="16"/>
  <c r="K14" i="16"/>
  <c r="G14" i="16"/>
  <c r="F14" i="16"/>
  <c r="M13" i="16"/>
  <c r="L13" i="16"/>
  <c r="K13" i="16"/>
  <c r="G13" i="16"/>
  <c r="F13" i="16"/>
  <c r="M12" i="16"/>
  <c r="L12" i="16"/>
  <c r="K12" i="16"/>
  <c r="G12" i="16"/>
  <c r="F12" i="16"/>
  <c r="M11" i="16"/>
  <c r="L11" i="16"/>
  <c r="K11" i="16"/>
  <c r="G11" i="16"/>
  <c r="F11" i="16"/>
  <c r="M10" i="16"/>
  <c r="L10" i="16"/>
  <c r="K10" i="16"/>
  <c r="G10" i="16"/>
  <c r="F10" i="16"/>
  <c r="M9" i="16"/>
  <c r="L9" i="16"/>
  <c r="K9" i="16"/>
  <c r="G9" i="16"/>
  <c r="F9" i="16"/>
  <c r="M8" i="16"/>
  <c r="L8" i="16"/>
  <c r="K8" i="16"/>
  <c r="G8" i="16"/>
  <c r="F8" i="16"/>
  <c r="M7" i="16"/>
  <c r="L7" i="16"/>
  <c r="K7" i="16"/>
  <c r="G7" i="16"/>
  <c r="F7" i="16"/>
  <c r="M6" i="16"/>
  <c r="L6" i="16"/>
  <c r="K6" i="16"/>
  <c r="G6" i="16"/>
  <c r="F6" i="16"/>
  <c r="M5" i="16"/>
  <c r="L5" i="16"/>
  <c r="K5" i="16"/>
  <c r="G5" i="16"/>
  <c r="F5" i="16"/>
  <c r="M4" i="16"/>
  <c r="L4" i="16"/>
  <c r="K4" i="16"/>
  <c r="G4" i="16"/>
  <c r="F4" i="16"/>
  <c r="M3" i="16"/>
  <c r="L3" i="16"/>
  <c r="K3" i="16"/>
  <c r="G3" i="16"/>
  <c r="F3" i="16"/>
  <c r="K35" i="16" l="1"/>
  <c r="F34" i="16"/>
  <c r="I38" i="16"/>
  <c r="L34" i="16"/>
  <c r="M34" i="16"/>
  <c r="K34" i="16"/>
  <c r="G34" i="16"/>
  <c r="I37" i="16"/>
  <c r="F13" i="20" s="1"/>
  <c r="E34" i="15"/>
  <c r="C34" i="15"/>
  <c r="B34" i="15"/>
  <c r="M32" i="15"/>
  <c r="L32" i="15"/>
  <c r="K32" i="15"/>
  <c r="G32" i="15"/>
  <c r="F32" i="15"/>
  <c r="M31" i="15"/>
  <c r="L31" i="15"/>
  <c r="K31" i="15"/>
  <c r="G31" i="15"/>
  <c r="F31" i="15"/>
  <c r="M30" i="15"/>
  <c r="L30" i="15"/>
  <c r="K30" i="15"/>
  <c r="G30" i="15"/>
  <c r="F30" i="15"/>
  <c r="M29" i="15"/>
  <c r="L29" i="15"/>
  <c r="K29" i="15"/>
  <c r="G29" i="15"/>
  <c r="F29" i="15"/>
  <c r="M28" i="15"/>
  <c r="L28" i="15"/>
  <c r="K28" i="15"/>
  <c r="G28" i="15"/>
  <c r="F28" i="15"/>
  <c r="M27" i="15"/>
  <c r="L27" i="15"/>
  <c r="K27" i="15"/>
  <c r="G27" i="15"/>
  <c r="F27" i="15"/>
  <c r="M26" i="15"/>
  <c r="L26" i="15"/>
  <c r="K26" i="15"/>
  <c r="G26" i="15"/>
  <c r="F26" i="15"/>
  <c r="M25" i="15"/>
  <c r="L25" i="15"/>
  <c r="K25" i="15"/>
  <c r="G25" i="15"/>
  <c r="F25" i="15"/>
  <c r="M24" i="15"/>
  <c r="L24" i="15"/>
  <c r="K24" i="15"/>
  <c r="G24" i="15"/>
  <c r="F24" i="15"/>
  <c r="M23" i="15"/>
  <c r="L23" i="15"/>
  <c r="K23" i="15"/>
  <c r="G23" i="15"/>
  <c r="F23" i="15"/>
  <c r="M22" i="15"/>
  <c r="L22" i="15"/>
  <c r="K22" i="15"/>
  <c r="G22" i="15"/>
  <c r="F22" i="15"/>
  <c r="M21" i="15"/>
  <c r="L21" i="15"/>
  <c r="K21" i="15"/>
  <c r="G21" i="15"/>
  <c r="F21" i="15"/>
  <c r="M20" i="15"/>
  <c r="L20" i="15"/>
  <c r="K20" i="15"/>
  <c r="G20" i="15"/>
  <c r="F20" i="15"/>
  <c r="M19" i="15"/>
  <c r="L19" i="15"/>
  <c r="K19" i="15"/>
  <c r="G19" i="15"/>
  <c r="F19" i="15"/>
  <c r="M18" i="15"/>
  <c r="L18" i="15"/>
  <c r="K18" i="15"/>
  <c r="G18" i="15"/>
  <c r="F18" i="15"/>
  <c r="M17" i="15"/>
  <c r="L17" i="15"/>
  <c r="K17" i="15"/>
  <c r="G17" i="15"/>
  <c r="F17" i="15"/>
  <c r="M16" i="15"/>
  <c r="L16" i="15"/>
  <c r="K16" i="15"/>
  <c r="G16" i="15"/>
  <c r="F16" i="15"/>
  <c r="M15" i="15"/>
  <c r="L15" i="15"/>
  <c r="K15" i="15"/>
  <c r="G15" i="15"/>
  <c r="F15" i="15"/>
  <c r="M14" i="15"/>
  <c r="L14" i="15"/>
  <c r="K14" i="15"/>
  <c r="G14" i="15"/>
  <c r="F14" i="15"/>
  <c r="L13" i="15"/>
  <c r="K13" i="15"/>
  <c r="J34" i="15"/>
  <c r="I34" i="15"/>
  <c r="F13" i="15"/>
  <c r="G13" i="15"/>
  <c r="M12" i="15"/>
  <c r="L12" i="15"/>
  <c r="K12" i="15"/>
  <c r="G12" i="15"/>
  <c r="F12" i="15"/>
  <c r="M11" i="15"/>
  <c r="L11" i="15"/>
  <c r="K11" i="15"/>
  <c r="G11" i="15"/>
  <c r="F11" i="15"/>
  <c r="M10" i="15"/>
  <c r="L10" i="15"/>
  <c r="K10" i="15"/>
  <c r="G10" i="15"/>
  <c r="F10" i="15"/>
  <c r="M9" i="15"/>
  <c r="L9" i="15"/>
  <c r="K9" i="15"/>
  <c r="G9" i="15"/>
  <c r="F9" i="15"/>
  <c r="M8" i="15"/>
  <c r="L8" i="15"/>
  <c r="K8" i="15"/>
  <c r="G8" i="15"/>
  <c r="F8" i="15"/>
  <c r="M7" i="15"/>
  <c r="L7" i="15"/>
  <c r="K7" i="15"/>
  <c r="G7" i="15"/>
  <c r="F7" i="15"/>
  <c r="M6" i="15"/>
  <c r="L6" i="15"/>
  <c r="K6" i="15"/>
  <c r="G6" i="15"/>
  <c r="F6" i="15"/>
  <c r="M5" i="15"/>
  <c r="L5" i="15"/>
  <c r="K5" i="15"/>
  <c r="G5" i="15"/>
  <c r="F5" i="15"/>
  <c r="M4" i="15"/>
  <c r="L4" i="15"/>
  <c r="K4" i="15"/>
  <c r="G4" i="15"/>
  <c r="F4" i="15"/>
  <c r="M3" i="15"/>
  <c r="L3" i="15"/>
  <c r="K3" i="15"/>
  <c r="G3" i="15"/>
  <c r="F3" i="15"/>
  <c r="K35" i="15" l="1"/>
  <c r="I39" i="16"/>
  <c r="I38" i="15"/>
  <c r="G34" i="15"/>
  <c r="L34" i="15"/>
  <c r="I37" i="15"/>
  <c r="F12" i="20" s="1"/>
  <c r="F34" i="15"/>
  <c r="K34" i="15"/>
  <c r="M13" i="15"/>
  <c r="M34" i="15" s="1"/>
  <c r="J13" i="14"/>
  <c r="I13" i="14"/>
  <c r="C13" i="14"/>
  <c r="I39" i="15" l="1"/>
  <c r="I34" i="14"/>
  <c r="E34" i="14"/>
  <c r="B34" i="14"/>
  <c r="M33" i="14"/>
  <c r="L33" i="14"/>
  <c r="K33" i="14"/>
  <c r="G33" i="14"/>
  <c r="F33" i="14"/>
  <c r="M32" i="14"/>
  <c r="L32" i="14"/>
  <c r="K32" i="14"/>
  <c r="G32" i="14"/>
  <c r="F32" i="14"/>
  <c r="M31" i="14"/>
  <c r="L31" i="14"/>
  <c r="K31" i="14"/>
  <c r="G31" i="14"/>
  <c r="F31" i="14"/>
  <c r="M30" i="14"/>
  <c r="L30" i="14"/>
  <c r="K30" i="14"/>
  <c r="G30" i="14"/>
  <c r="F30" i="14"/>
  <c r="M29" i="14"/>
  <c r="L29" i="14"/>
  <c r="K29" i="14"/>
  <c r="G29" i="14"/>
  <c r="F29" i="14"/>
  <c r="M28" i="14"/>
  <c r="L28" i="14"/>
  <c r="K28" i="14"/>
  <c r="G28" i="14"/>
  <c r="F28" i="14"/>
  <c r="M27" i="14"/>
  <c r="L27" i="14"/>
  <c r="K27" i="14"/>
  <c r="G27" i="14"/>
  <c r="F27" i="14"/>
  <c r="M26" i="14"/>
  <c r="L26" i="14"/>
  <c r="K26" i="14"/>
  <c r="G26" i="14"/>
  <c r="F26" i="14"/>
  <c r="M25" i="14"/>
  <c r="L25" i="14"/>
  <c r="K25" i="14"/>
  <c r="G25" i="14"/>
  <c r="F25" i="14"/>
  <c r="M24" i="14"/>
  <c r="L24" i="14"/>
  <c r="K24" i="14"/>
  <c r="G24" i="14"/>
  <c r="F24" i="14"/>
  <c r="M23" i="14"/>
  <c r="L23" i="14"/>
  <c r="K23" i="14"/>
  <c r="G23" i="14"/>
  <c r="F23" i="14"/>
  <c r="M22" i="14"/>
  <c r="L22" i="14"/>
  <c r="K22" i="14"/>
  <c r="G22" i="14"/>
  <c r="F22" i="14"/>
  <c r="M21" i="14"/>
  <c r="L21" i="14"/>
  <c r="K21" i="14"/>
  <c r="G21" i="14"/>
  <c r="F21" i="14"/>
  <c r="M20" i="14"/>
  <c r="L20" i="14"/>
  <c r="K20" i="14"/>
  <c r="G20" i="14"/>
  <c r="F20" i="14"/>
  <c r="M19" i="14"/>
  <c r="L19" i="14"/>
  <c r="K19" i="14"/>
  <c r="G19" i="14"/>
  <c r="F19" i="14"/>
  <c r="M18" i="14"/>
  <c r="K18" i="14"/>
  <c r="L18" i="14"/>
  <c r="G18" i="14"/>
  <c r="F18" i="14"/>
  <c r="M17" i="14"/>
  <c r="L17" i="14"/>
  <c r="F17" i="14"/>
  <c r="K17" i="14"/>
  <c r="M16" i="14"/>
  <c r="L16" i="14"/>
  <c r="K16" i="14"/>
  <c r="G16" i="14"/>
  <c r="F16" i="14"/>
  <c r="M15" i="14"/>
  <c r="L15" i="14"/>
  <c r="K15" i="14"/>
  <c r="G15" i="14"/>
  <c r="F15" i="14"/>
  <c r="M14" i="14"/>
  <c r="L14" i="14"/>
  <c r="K14" i="14"/>
  <c r="G14" i="14"/>
  <c r="F14" i="14"/>
  <c r="M13" i="14"/>
  <c r="L13" i="14"/>
  <c r="F13" i="14"/>
  <c r="K13" i="14"/>
  <c r="M12" i="14"/>
  <c r="L12" i="14"/>
  <c r="K12" i="14"/>
  <c r="J34" i="14"/>
  <c r="F12" i="14"/>
  <c r="G12" i="14"/>
  <c r="M11" i="14"/>
  <c r="K11" i="14"/>
  <c r="L11" i="14"/>
  <c r="F11" i="14"/>
  <c r="G11" i="14"/>
  <c r="M10" i="14"/>
  <c r="L10" i="14"/>
  <c r="K10" i="14"/>
  <c r="G10" i="14"/>
  <c r="F10" i="14"/>
  <c r="M9" i="14"/>
  <c r="L9" i="14"/>
  <c r="K9" i="14"/>
  <c r="G9" i="14"/>
  <c r="F9" i="14"/>
  <c r="M8" i="14"/>
  <c r="L8" i="14"/>
  <c r="K8" i="14"/>
  <c r="G8" i="14"/>
  <c r="F8" i="14"/>
  <c r="M7" i="14"/>
  <c r="L7" i="14"/>
  <c r="K7" i="14"/>
  <c r="G7" i="14"/>
  <c r="F7" i="14"/>
  <c r="M6" i="14"/>
  <c r="L6" i="14"/>
  <c r="K6" i="14"/>
  <c r="G6" i="14"/>
  <c r="F6" i="14"/>
  <c r="M5" i="14"/>
  <c r="L5" i="14"/>
  <c r="K5" i="14"/>
  <c r="G5" i="14"/>
  <c r="F5" i="14"/>
  <c r="M4" i="14"/>
  <c r="L4" i="14"/>
  <c r="K4" i="14"/>
  <c r="G4" i="14"/>
  <c r="F4" i="14"/>
  <c r="M3" i="14"/>
  <c r="L3" i="14"/>
  <c r="K3" i="14"/>
  <c r="G3" i="14"/>
  <c r="F3" i="14"/>
  <c r="I38" i="14" l="1"/>
  <c r="F34" i="14"/>
  <c r="M34" i="14"/>
  <c r="L34" i="14"/>
  <c r="K34" i="14"/>
  <c r="I37" i="14"/>
  <c r="F11" i="20" s="1"/>
  <c r="C34" i="14"/>
  <c r="G17" i="14"/>
  <c r="G13" i="14"/>
  <c r="I18" i="13"/>
  <c r="C17" i="13"/>
  <c r="G17" i="13" s="1"/>
  <c r="J16" i="13"/>
  <c r="M16" i="13" s="1"/>
  <c r="I16" i="13"/>
  <c r="C13" i="13"/>
  <c r="K13" i="13" s="1"/>
  <c r="J12" i="13"/>
  <c r="M12" i="13" s="1"/>
  <c r="C12" i="13"/>
  <c r="K12" i="13" s="1"/>
  <c r="I11" i="13"/>
  <c r="I34" i="13" s="1"/>
  <c r="C11" i="13"/>
  <c r="G11" i="13" s="1"/>
  <c r="F33" i="13"/>
  <c r="G33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F12" i="13"/>
  <c r="F13" i="13"/>
  <c r="F14" i="13"/>
  <c r="G14" i="13"/>
  <c r="F15" i="13"/>
  <c r="G15" i="13"/>
  <c r="F16" i="13"/>
  <c r="G16" i="13"/>
  <c r="F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G3" i="13"/>
  <c r="G4" i="13"/>
  <c r="F4" i="13"/>
  <c r="F3" i="13"/>
  <c r="M17" i="13"/>
  <c r="M18" i="13"/>
  <c r="M19" i="13"/>
  <c r="M20" i="13"/>
  <c r="M21" i="13"/>
  <c r="M22" i="13"/>
  <c r="M23" i="13"/>
  <c r="M24" i="13"/>
  <c r="L16" i="13"/>
  <c r="L17" i="13"/>
  <c r="L18" i="13"/>
  <c r="L19" i="13"/>
  <c r="L20" i="13"/>
  <c r="K16" i="13"/>
  <c r="K17" i="13"/>
  <c r="K18" i="13"/>
  <c r="K19" i="13"/>
  <c r="E34" i="13"/>
  <c r="B34" i="13"/>
  <c r="M33" i="13"/>
  <c r="L33" i="13"/>
  <c r="K33" i="13"/>
  <c r="M32" i="13"/>
  <c r="L32" i="13"/>
  <c r="K32" i="13"/>
  <c r="M31" i="13"/>
  <c r="L31" i="13"/>
  <c r="K31" i="13"/>
  <c r="M30" i="13"/>
  <c r="L30" i="13"/>
  <c r="K30" i="13"/>
  <c r="M29" i="13"/>
  <c r="L29" i="13"/>
  <c r="K29" i="13"/>
  <c r="M28" i="13"/>
  <c r="L28" i="13"/>
  <c r="K28" i="13"/>
  <c r="M27" i="13"/>
  <c r="L27" i="13"/>
  <c r="K27" i="13"/>
  <c r="M26" i="13"/>
  <c r="L26" i="13"/>
  <c r="K26" i="13"/>
  <c r="M25" i="13"/>
  <c r="L25" i="13"/>
  <c r="K25" i="13"/>
  <c r="L24" i="13"/>
  <c r="K24" i="13"/>
  <c r="L23" i="13"/>
  <c r="K23" i="13"/>
  <c r="L22" i="13"/>
  <c r="K22" i="13"/>
  <c r="L21" i="13"/>
  <c r="K21" i="13"/>
  <c r="K20" i="13"/>
  <c r="M15" i="13"/>
  <c r="L15" i="13"/>
  <c r="K15" i="13"/>
  <c r="M14" i="13"/>
  <c r="L14" i="13"/>
  <c r="K14" i="13"/>
  <c r="M13" i="13"/>
  <c r="L13" i="13"/>
  <c r="L12" i="13"/>
  <c r="M11" i="13"/>
  <c r="M10" i="13"/>
  <c r="L10" i="13"/>
  <c r="K10" i="13"/>
  <c r="M9" i="13"/>
  <c r="L9" i="13"/>
  <c r="K9" i="13"/>
  <c r="M8" i="13"/>
  <c r="L8" i="13"/>
  <c r="K8" i="13"/>
  <c r="M7" i="13"/>
  <c r="L7" i="13"/>
  <c r="K7" i="13"/>
  <c r="M6" i="13"/>
  <c r="L6" i="13"/>
  <c r="K6" i="13"/>
  <c r="M5" i="13"/>
  <c r="L5" i="13"/>
  <c r="K5" i="13"/>
  <c r="M4" i="13"/>
  <c r="L4" i="13"/>
  <c r="K4" i="13"/>
  <c r="M3" i="13"/>
  <c r="L3" i="13"/>
  <c r="K3" i="13"/>
  <c r="K11" i="13" l="1"/>
  <c r="G12" i="13"/>
  <c r="L11" i="13"/>
  <c r="I39" i="14"/>
  <c r="G34" i="14"/>
  <c r="G13" i="13"/>
  <c r="J34" i="13"/>
  <c r="I38" i="13" s="1"/>
  <c r="C34" i="13"/>
  <c r="F34" i="13"/>
  <c r="G34" i="13"/>
  <c r="L34" i="13"/>
  <c r="M34" i="13"/>
  <c r="K34" i="13"/>
  <c r="I37" i="13"/>
  <c r="F10" i="20" s="1"/>
  <c r="J34" i="12"/>
  <c r="I34" i="12"/>
  <c r="E34" i="12"/>
  <c r="C34" i="12"/>
  <c r="B34" i="12"/>
  <c r="M33" i="12"/>
  <c r="L33" i="12"/>
  <c r="K33" i="12"/>
  <c r="G33" i="12"/>
  <c r="F33" i="12"/>
  <c r="M32" i="12"/>
  <c r="L32" i="12"/>
  <c r="K32" i="12"/>
  <c r="G32" i="12"/>
  <c r="F32" i="12"/>
  <c r="M31" i="12"/>
  <c r="L31" i="12"/>
  <c r="K31" i="12"/>
  <c r="G31" i="12"/>
  <c r="F31" i="12"/>
  <c r="M30" i="12"/>
  <c r="L30" i="12"/>
  <c r="K30" i="12"/>
  <c r="G30" i="12"/>
  <c r="F30" i="12"/>
  <c r="M29" i="12"/>
  <c r="L29" i="12"/>
  <c r="K29" i="12"/>
  <c r="G29" i="12"/>
  <c r="F29" i="12"/>
  <c r="M28" i="12"/>
  <c r="L28" i="12"/>
  <c r="K28" i="12"/>
  <c r="G28" i="12"/>
  <c r="F28" i="12"/>
  <c r="M27" i="12"/>
  <c r="L27" i="12"/>
  <c r="K27" i="12"/>
  <c r="F27" i="12"/>
  <c r="M26" i="12"/>
  <c r="L26" i="12"/>
  <c r="K26" i="12"/>
  <c r="G26" i="12"/>
  <c r="F26" i="12"/>
  <c r="M25" i="12"/>
  <c r="L25" i="12"/>
  <c r="K25" i="12"/>
  <c r="G25" i="12"/>
  <c r="F25" i="12"/>
  <c r="M24" i="12"/>
  <c r="L24" i="12"/>
  <c r="K24" i="12"/>
  <c r="G24" i="12"/>
  <c r="F24" i="12"/>
  <c r="M23" i="12"/>
  <c r="L23" i="12"/>
  <c r="K23" i="12"/>
  <c r="G23" i="12"/>
  <c r="F23" i="12"/>
  <c r="M22" i="12"/>
  <c r="L22" i="12"/>
  <c r="K22" i="12"/>
  <c r="G22" i="12"/>
  <c r="F22" i="12"/>
  <c r="M21" i="12"/>
  <c r="L21" i="12"/>
  <c r="K21" i="12"/>
  <c r="G21" i="12"/>
  <c r="F21" i="12"/>
  <c r="M20" i="12"/>
  <c r="L20" i="12"/>
  <c r="K20" i="12"/>
  <c r="G20" i="12"/>
  <c r="F20" i="12"/>
  <c r="M19" i="12"/>
  <c r="K19" i="12"/>
  <c r="G19" i="12"/>
  <c r="F19" i="12"/>
  <c r="M18" i="12"/>
  <c r="K18" i="12"/>
  <c r="G18" i="12"/>
  <c r="F18" i="12"/>
  <c r="M17" i="12"/>
  <c r="G17" i="12"/>
  <c r="F17" i="12"/>
  <c r="M16" i="12"/>
  <c r="L16" i="12"/>
  <c r="K16" i="12"/>
  <c r="G16" i="12"/>
  <c r="F16" i="12"/>
  <c r="M15" i="12"/>
  <c r="L15" i="12"/>
  <c r="K15" i="12"/>
  <c r="G15" i="12"/>
  <c r="F15" i="12"/>
  <c r="M14" i="12"/>
  <c r="L14" i="12"/>
  <c r="K14" i="12"/>
  <c r="G14" i="12"/>
  <c r="F14" i="12"/>
  <c r="M13" i="12"/>
  <c r="L13" i="12"/>
  <c r="K13" i="12"/>
  <c r="G13" i="12"/>
  <c r="F13" i="12"/>
  <c r="M12" i="12"/>
  <c r="L12" i="12"/>
  <c r="K12" i="12"/>
  <c r="G12" i="12"/>
  <c r="F12" i="12"/>
  <c r="M11" i="12"/>
  <c r="L11" i="12"/>
  <c r="K11" i="12"/>
  <c r="G11" i="12"/>
  <c r="F11" i="12"/>
  <c r="M10" i="12"/>
  <c r="L10" i="12"/>
  <c r="K10" i="12"/>
  <c r="G10" i="12"/>
  <c r="F10" i="12"/>
  <c r="M9" i="12"/>
  <c r="L9" i="12"/>
  <c r="K9" i="12"/>
  <c r="G9" i="12"/>
  <c r="F9" i="12"/>
  <c r="M8" i="12"/>
  <c r="L8" i="12"/>
  <c r="K8" i="12"/>
  <c r="F8" i="12"/>
  <c r="M7" i="12"/>
  <c r="L7" i="12"/>
  <c r="K7" i="12"/>
  <c r="G7" i="12"/>
  <c r="F7" i="12"/>
  <c r="M6" i="12"/>
  <c r="L6" i="12"/>
  <c r="K6" i="12"/>
  <c r="G6" i="12"/>
  <c r="F6" i="12"/>
  <c r="M5" i="12"/>
  <c r="L5" i="12"/>
  <c r="K5" i="12"/>
  <c r="G5" i="12"/>
  <c r="F5" i="12"/>
  <c r="M4" i="12"/>
  <c r="L4" i="12"/>
  <c r="K4" i="12"/>
  <c r="G4" i="12"/>
  <c r="F4" i="12"/>
  <c r="M3" i="12"/>
  <c r="L3" i="12"/>
  <c r="K3" i="12"/>
  <c r="G3" i="12"/>
  <c r="F3" i="12"/>
  <c r="J34" i="11"/>
  <c r="I34" i="11"/>
  <c r="E34" i="11"/>
  <c r="C34" i="11"/>
  <c r="B34" i="11"/>
  <c r="M33" i="11"/>
  <c r="L33" i="11"/>
  <c r="K33" i="11"/>
  <c r="G33" i="11"/>
  <c r="F33" i="11"/>
  <c r="M32" i="11"/>
  <c r="L32" i="11"/>
  <c r="K32" i="11"/>
  <c r="G32" i="11"/>
  <c r="F32" i="11"/>
  <c r="M31" i="11"/>
  <c r="L31" i="11"/>
  <c r="K31" i="11"/>
  <c r="G31" i="11"/>
  <c r="F31" i="11"/>
  <c r="M30" i="11"/>
  <c r="L30" i="11"/>
  <c r="K30" i="11"/>
  <c r="G30" i="11"/>
  <c r="F30" i="11"/>
  <c r="M29" i="11"/>
  <c r="L29" i="11"/>
  <c r="K29" i="11"/>
  <c r="G29" i="11"/>
  <c r="F29" i="11"/>
  <c r="M28" i="11"/>
  <c r="L28" i="11"/>
  <c r="K28" i="11"/>
  <c r="G28" i="11"/>
  <c r="F28" i="11"/>
  <c r="M27" i="11"/>
  <c r="L27" i="11"/>
  <c r="K27" i="11"/>
  <c r="F27" i="11"/>
  <c r="M26" i="11"/>
  <c r="L26" i="11"/>
  <c r="K26" i="11"/>
  <c r="G26" i="11"/>
  <c r="F26" i="11"/>
  <c r="M25" i="11"/>
  <c r="L25" i="11"/>
  <c r="K25" i="11"/>
  <c r="G25" i="11"/>
  <c r="F25" i="11"/>
  <c r="M24" i="11"/>
  <c r="L24" i="11"/>
  <c r="K24" i="11"/>
  <c r="G24" i="11"/>
  <c r="F24" i="11"/>
  <c r="M23" i="11"/>
  <c r="L23" i="11"/>
  <c r="K23" i="11"/>
  <c r="G23" i="11"/>
  <c r="F23" i="11"/>
  <c r="M22" i="11"/>
  <c r="L22" i="11"/>
  <c r="K22" i="11"/>
  <c r="G22" i="11"/>
  <c r="F22" i="11"/>
  <c r="M21" i="11"/>
  <c r="L21" i="11"/>
  <c r="K21" i="11"/>
  <c r="G21" i="11"/>
  <c r="F21" i="11"/>
  <c r="M20" i="11"/>
  <c r="L20" i="11"/>
  <c r="K20" i="11"/>
  <c r="G20" i="11"/>
  <c r="F20" i="11"/>
  <c r="M19" i="11"/>
  <c r="L19" i="11"/>
  <c r="K19" i="11"/>
  <c r="G19" i="11"/>
  <c r="F19" i="11"/>
  <c r="L18" i="11"/>
  <c r="K18" i="11"/>
  <c r="G18" i="11"/>
  <c r="M17" i="11"/>
  <c r="L17" i="11"/>
  <c r="K17" i="11"/>
  <c r="G17" i="11"/>
  <c r="F17" i="11"/>
  <c r="M16" i="11"/>
  <c r="L16" i="11"/>
  <c r="K16" i="11"/>
  <c r="G16" i="11"/>
  <c r="F16" i="11"/>
  <c r="M15" i="11"/>
  <c r="L15" i="11"/>
  <c r="G15" i="11"/>
  <c r="F15" i="11"/>
  <c r="M14" i="11"/>
  <c r="L14" i="11"/>
  <c r="K14" i="11"/>
  <c r="G14" i="11"/>
  <c r="F14" i="11"/>
  <c r="M13" i="11"/>
  <c r="L13" i="11"/>
  <c r="K13" i="11"/>
  <c r="G13" i="11"/>
  <c r="F13" i="11"/>
  <c r="M12" i="11"/>
  <c r="L12" i="11"/>
  <c r="K12" i="11"/>
  <c r="G12" i="11"/>
  <c r="F12" i="11"/>
  <c r="M11" i="11"/>
  <c r="L11" i="11"/>
  <c r="K11" i="11"/>
  <c r="G11" i="11"/>
  <c r="F11" i="11"/>
  <c r="M10" i="11"/>
  <c r="L10" i="11"/>
  <c r="K10" i="11"/>
  <c r="G10" i="11"/>
  <c r="F10" i="11"/>
  <c r="M9" i="11"/>
  <c r="L9" i="11"/>
  <c r="K9" i="11"/>
  <c r="G9" i="11"/>
  <c r="F9" i="11"/>
  <c r="M8" i="11"/>
  <c r="L8" i="11"/>
  <c r="K8" i="11"/>
  <c r="F8" i="11"/>
  <c r="M7" i="11"/>
  <c r="L7" i="11"/>
  <c r="K7" i="11"/>
  <c r="G7" i="11"/>
  <c r="F7" i="11"/>
  <c r="M6" i="11"/>
  <c r="L6" i="11"/>
  <c r="K6" i="11"/>
  <c r="G6" i="11"/>
  <c r="F6" i="11"/>
  <c r="M5" i="11"/>
  <c r="L5" i="11"/>
  <c r="K5" i="11"/>
  <c r="G5" i="11"/>
  <c r="F5" i="11"/>
  <c r="M4" i="11"/>
  <c r="L4" i="11"/>
  <c r="K4" i="11"/>
  <c r="G4" i="11"/>
  <c r="F4" i="11"/>
  <c r="M3" i="11"/>
  <c r="L3" i="11"/>
  <c r="K3" i="11"/>
  <c r="G3" i="11"/>
  <c r="F3" i="11"/>
  <c r="I39" i="13" l="1"/>
  <c r="I38" i="12"/>
  <c r="M34" i="12"/>
  <c r="L34" i="12"/>
  <c r="F34" i="12"/>
  <c r="G34" i="12"/>
  <c r="I37" i="12"/>
  <c r="F9" i="20" s="1"/>
  <c r="K34" i="12"/>
  <c r="I38" i="11"/>
  <c r="G34" i="11"/>
  <c r="F34" i="11"/>
  <c r="M34" i="11"/>
  <c r="L34" i="11"/>
  <c r="K34" i="11"/>
  <c r="I37" i="11"/>
  <c r="F8" i="20" s="1"/>
  <c r="K29" i="10"/>
  <c r="K30" i="10"/>
  <c r="K31" i="10"/>
  <c r="K32" i="10"/>
  <c r="K33" i="10"/>
  <c r="M28" i="10"/>
  <c r="M29" i="10"/>
  <c r="M30" i="10"/>
  <c r="M31" i="10"/>
  <c r="M32" i="10"/>
  <c r="M33" i="10"/>
  <c r="I39" i="12" l="1"/>
  <c r="I39" i="11"/>
  <c r="J34" i="10"/>
  <c r="I34" i="10"/>
  <c r="E34" i="10"/>
  <c r="C34" i="10"/>
  <c r="B34" i="10"/>
  <c r="L33" i="10"/>
  <c r="G33" i="10"/>
  <c r="F33" i="10"/>
  <c r="L32" i="10"/>
  <c r="G32" i="10"/>
  <c r="F32" i="10"/>
  <c r="L31" i="10"/>
  <c r="G31" i="10"/>
  <c r="F31" i="10"/>
  <c r="L30" i="10"/>
  <c r="G30" i="10"/>
  <c r="F30" i="10"/>
  <c r="L29" i="10"/>
  <c r="G29" i="10"/>
  <c r="F29" i="10"/>
  <c r="L28" i="10"/>
  <c r="K28" i="10"/>
  <c r="G28" i="10"/>
  <c r="F28" i="10"/>
  <c r="M27" i="10"/>
  <c r="L27" i="10"/>
  <c r="K27" i="10"/>
  <c r="F27" i="10"/>
  <c r="M26" i="10"/>
  <c r="L26" i="10"/>
  <c r="K26" i="10"/>
  <c r="G26" i="10"/>
  <c r="F26" i="10"/>
  <c r="M25" i="10"/>
  <c r="L25" i="10"/>
  <c r="K25" i="10"/>
  <c r="G25" i="10"/>
  <c r="F25" i="10"/>
  <c r="M24" i="10"/>
  <c r="L24" i="10"/>
  <c r="K24" i="10"/>
  <c r="G24" i="10"/>
  <c r="F24" i="10"/>
  <c r="M23" i="10"/>
  <c r="L23" i="10"/>
  <c r="K23" i="10"/>
  <c r="G23" i="10"/>
  <c r="F23" i="10"/>
  <c r="M22" i="10"/>
  <c r="L22" i="10"/>
  <c r="K22" i="10"/>
  <c r="G22" i="10"/>
  <c r="F22" i="10"/>
  <c r="M21" i="10"/>
  <c r="L21" i="10"/>
  <c r="K21" i="10"/>
  <c r="G21" i="10"/>
  <c r="F21" i="10"/>
  <c r="M20" i="10"/>
  <c r="L20" i="10"/>
  <c r="K20" i="10"/>
  <c r="G20" i="10"/>
  <c r="F20" i="10"/>
  <c r="M19" i="10"/>
  <c r="L19" i="10"/>
  <c r="K19" i="10"/>
  <c r="G19" i="10"/>
  <c r="F19" i="10"/>
  <c r="M18" i="10"/>
  <c r="L18" i="10"/>
  <c r="K18" i="10"/>
  <c r="G18" i="10"/>
  <c r="F18" i="10"/>
  <c r="M17" i="10"/>
  <c r="L17" i="10"/>
  <c r="K17" i="10"/>
  <c r="G17" i="10"/>
  <c r="F17" i="10"/>
  <c r="M16" i="10"/>
  <c r="L16" i="10"/>
  <c r="K16" i="10"/>
  <c r="G16" i="10"/>
  <c r="F16" i="10"/>
  <c r="M15" i="10"/>
  <c r="L15" i="10"/>
  <c r="K15" i="10"/>
  <c r="G15" i="10"/>
  <c r="F15" i="10"/>
  <c r="M14" i="10"/>
  <c r="L14" i="10"/>
  <c r="K14" i="10"/>
  <c r="G14" i="10"/>
  <c r="F14" i="10"/>
  <c r="M13" i="10"/>
  <c r="L13" i="10"/>
  <c r="K13" i="10"/>
  <c r="G13" i="10"/>
  <c r="F13" i="10"/>
  <c r="M12" i="10"/>
  <c r="L12" i="10"/>
  <c r="K12" i="10"/>
  <c r="G12" i="10"/>
  <c r="F12" i="10"/>
  <c r="M11" i="10"/>
  <c r="L11" i="10"/>
  <c r="K11" i="10"/>
  <c r="G11" i="10"/>
  <c r="F11" i="10"/>
  <c r="M10" i="10"/>
  <c r="L10" i="10"/>
  <c r="K10" i="10"/>
  <c r="G10" i="10"/>
  <c r="F10" i="10"/>
  <c r="M9" i="10"/>
  <c r="L9" i="10"/>
  <c r="K9" i="10"/>
  <c r="G9" i="10"/>
  <c r="F9" i="10"/>
  <c r="M8" i="10"/>
  <c r="L8" i="10"/>
  <c r="K8" i="10"/>
  <c r="F8" i="10"/>
  <c r="M7" i="10"/>
  <c r="L7" i="10"/>
  <c r="K7" i="10"/>
  <c r="G7" i="10"/>
  <c r="F7" i="10"/>
  <c r="M6" i="10"/>
  <c r="L6" i="10"/>
  <c r="K6" i="10"/>
  <c r="G6" i="10"/>
  <c r="F6" i="10"/>
  <c r="M5" i="10"/>
  <c r="L5" i="10"/>
  <c r="K5" i="10"/>
  <c r="G5" i="10"/>
  <c r="F5" i="10"/>
  <c r="M4" i="10"/>
  <c r="L4" i="10"/>
  <c r="K4" i="10"/>
  <c r="G4" i="10"/>
  <c r="F4" i="10"/>
  <c r="M3" i="10"/>
  <c r="L3" i="10"/>
  <c r="K3" i="10"/>
  <c r="G3" i="10"/>
  <c r="F3" i="10"/>
  <c r="M34" i="10" l="1"/>
  <c r="I38" i="10"/>
  <c r="G34" i="10"/>
  <c r="L34" i="10"/>
  <c r="F34" i="10"/>
  <c r="K34" i="10"/>
  <c r="I37" i="10"/>
  <c r="F7" i="20" s="1"/>
  <c r="I34" i="9"/>
  <c r="E34" i="9"/>
  <c r="C34" i="9"/>
  <c r="B34" i="9"/>
  <c r="M33" i="9"/>
  <c r="L33" i="9"/>
  <c r="K33" i="9"/>
  <c r="G33" i="9"/>
  <c r="F33" i="9"/>
  <c r="M32" i="9"/>
  <c r="L32" i="9"/>
  <c r="K32" i="9"/>
  <c r="G32" i="9"/>
  <c r="F32" i="9"/>
  <c r="M31" i="9"/>
  <c r="L31" i="9"/>
  <c r="K31" i="9"/>
  <c r="G31" i="9"/>
  <c r="F31" i="9"/>
  <c r="M30" i="9"/>
  <c r="L30" i="9"/>
  <c r="K30" i="9"/>
  <c r="G30" i="9"/>
  <c r="F30" i="9"/>
  <c r="M29" i="9"/>
  <c r="L29" i="9"/>
  <c r="K29" i="9"/>
  <c r="G29" i="9"/>
  <c r="F29" i="9"/>
  <c r="M28" i="9"/>
  <c r="L28" i="9"/>
  <c r="K28" i="9"/>
  <c r="G28" i="9"/>
  <c r="F28" i="9"/>
  <c r="M27" i="9"/>
  <c r="L27" i="9"/>
  <c r="K27" i="9"/>
  <c r="F27" i="9"/>
  <c r="M26" i="9"/>
  <c r="L26" i="9"/>
  <c r="K26" i="9"/>
  <c r="G26" i="9"/>
  <c r="F26" i="9"/>
  <c r="M25" i="9"/>
  <c r="L25" i="9"/>
  <c r="K25" i="9"/>
  <c r="G25" i="9"/>
  <c r="F25" i="9"/>
  <c r="M24" i="9"/>
  <c r="L24" i="9"/>
  <c r="K24" i="9"/>
  <c r="G24" i="9"/>
  <c r="F24" i="9"/>
  <c r="M23" i="9"/>
  <c r="L23" i="9"/>
  <c r="K23" i="9"/>
  <c r="G23" i="9"/>
  <c r="F23" i="9"/>
  <c r="M22" i="9"/>
  <c r="L22" i="9"/>
  <c r="K22" i="9"/>
  <c r="G22" i="9"/>
  <c r="F22" i="9"/>
  <c r="M21" i="9"/>
  <c r="L21" i="9"/>
  <c r="K21" i="9"/>
  <c r="G21" i="9"/>
  <c r="F21" i="9"/>
  <c r="M20" i="9"/>
  <c r="L20" i="9"/>
  <c r="K20" i="9"/>
  <c r="G20" i="9"/>
  <c r="F20" i="9"/>
  <c r="M19" i="9"/>
  <c r="L19" i="9"/>
  <c r="K19" i="9"/>
  <c r="G19" i="9"/>
  <c r="F19" i="9"/>
  <c r="M18" i="9"/>
  <c r="L18" i="9"/>
  <c r="K18" i="9"/>
  <c r="G18" i="9"/>
  <c r="F18" i="9"/>
  <c r="M17" i="9"/>
  <c r="L17" i="9"/>
  <c r="K17" i="9"/>
  <c r="G17" i="9"/>
  <c r="F17" i="9"/>
  <c r="M16" i="9"/>
  <c r="L16" i="9"/>
  <c r="K16" i="9"/>
  <c r="G16" i="9"/>
  <c r="F16" i="9"/>
  <c r="M15" i="9"/>
  <c r="L15" i="9"/>
  <c r="K15" i="9"/>
  <c r="G15" i="9"/>
  <c r="F15" i="9"/>
  <c r="M14" i="9"/>
  <c r="L14" i="9"/>
  <c r="K14" i="9"/>
  <c r="G14" i="9"/>
  <c r="F14" i="9"/>
  <c r="M13" i="9"/>
  <c r="L13" i="9"/>
  <c r="K13" i="9"/>
  <c r="G13" i="9"/>
  <c r="F13" i="9"/>
  <c r="M12" i="9"/>
  <c r="L12" i="9"/>
  <c r="K12" i="9"/>
  <c r="G12" i="9"/>
  <c r="F12" i="9"/>
  <c r="M11" i="9"/>
  <c r="L11" i="9"/>
  <c r="K11" i="9"/>
  <c r="G11" i="9"/>
  <c r="F11" i="9"/>
  <c r="M10" i="9"/>
  <c r="L10" i="9"/>
  <c r="K10" i="9"/>
  <c r="G10" i="9"/>
  <c r="F10" i="9"/>
  <c r="M9" i="9"/>
  <c r="L9" i="9"/>
  <c r="K9" i="9"/>
  <c r="G9" i="9"/>
  <c r="F9" i="9"/>
  <c r="M8" i="9"/>
  <c r="L8" i="9"/>
  <c r="K8" i="9"/>
  <c r="F8" i="9"/>
  <c r="M7" i="9"/>
  <c r="L7" i="9"/>
  <c r="K7" i="9"/>
  <c r="G7" i="9"/>
  <c r="F7" i="9"/>
  <c r="M6" i="9"/>
  <c r="L6" i="9"/>
  <c r="K6" i="9"/>
  <c r="J34" i="9"/>
  <c r="G6" i="9"/>
  <c r="F6" i="9"/>
  <c r="M5" i="9"/>
  <c r="L5" i="9"/>
  <c r="K5" i="9"/>
  <c r="G5" i="9"/>
  <c r="F5" i="9"/>
  <c r="M4" i="9"/>
  <c r="L4" i="9"/>
  <c r="K4" i="9"/>
  <c r="G4" i="9"/>
  <c r="F4" i="9"/>
  <c r="M3" i="9"/>
  <c r="L3" i="9"/>
  <c r="K3" i="9"/>
  <c r="G3" i="9"/>
  <c r="F3" i="9"/>
  <c r="I39" i="10" l="1"/>
  <c r="I38" i="9"/>
  <c r="L34" i="9"/>
  <c r="F34" i="9"/>
  <c r="G34" i="9"/>
  <c r="I37" i="9"/>
  <c r="F6" i="20" s="1"/>
  <c r="M34" i="9"/>
  <c r="K34" i="9"/>
  <c r="J6" i="8"/>
  <c r="J34" i="8" s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" i="8"/>
  <c r="I34" i="8"/>
  <c r="H34" i="8"/>
  <c r="E34" i="8"/>
  <c r="C34" i="8"/>
  <c r="B34" i="8"/>
  <c r="M33" i="8"/>
  <c r="L33" i="8"/>
  <c r="G33" i="8"/>
  <c r="F33" i="8"/>
  <c r="M32" i="8"/>
  <c r="L32" i="8"/>
  <c r="G32" i="8"/>
  <c r="F32" i="8"/>
  <c r="M31" i="8"/>
  <c r="L31" i="8"/>
  <c r="G31" i="8"/>
  <c r="F31" i="8"/>
  <c r="M30" i="8"/>
  <c r="L30" i="8"/>
  <c r="G30" i="8"/>
  <c r="F30" i="8"/>
  <c r="M29" i="8"/>
  <c r="L29" i="8"/>
  <c r="G29" i="8"/>
  <c r="F29" i="8"/>
  <c r="M28" i="8"/>
  <c r="L28" i="8"/>
  <c r="G28" i="8"/>
  <c r="F28" i="8"/>
  <c r="M27" i="8"/>
  <c r="L27" i="8"/>
  <c r="G27" i="8"/>
  <c r="F27" i="8"/>
  <c r="M26" i="8"/>
  <c r="L26" i="8"/>
  <c r="G26" i="8"/>
  <c r="F26" i="8"/>
  <c r="M25" i="8"/>
  <c r="L25" i="8"/>
  <c r="G25" i="8"/>
  <c r="F25" i="8"/>
  <c r="M24" i="8"/>
  <c r="L24" i="8"/>
  <c r="G24" i="8"/>
  <c r="F24" i="8"/>
  <c r="M23" i="8"/>
  <c r="L23" i="8"/>
  <c r="G23" i="8"/>
  <c r="F23" i="8"/>
  <c r="M22" i="8"/>
  <c r="L22" i="8"/>
  <c r="G22" i="8"/>
  <c r="F22" i="8"/>
  <c r="M21" i="8"/>
  <c r="L21" i="8"/>
  <c r="G21" i="8"/>
  <c r="F21" i="8"/>
  <c r="M20" i="8"/>
  <c r="L20" i="8"/>
  <c r="G20" i="8"/>
  <c r="F20" i="8"/>
  <c r="M19" i="8"/>
  <c r="L19" i="8"/>
  <c r="G19" i="8"/>
  <c r="F19" i="8"/>
  <c r="M18" i="8"/>
  <c r="L18" i="8"/>
  <c r="G18" i="8"/>
  <c r="F18" i="8"/>
  <c r="M17" i="8"/>
  <c r="L17" i="8"/>
  <c r="G17" i="8"/>
  <c r="F17" i="8"/>
  <c r="M16" i="8"/>
  <c r="L16" i="8"/>
  <c r="G16" i="8"/>
  <c r="F16" i="8"/>
  <c r="M15" i="8"/>
  <c r="L15" i="8"/>
  <c r="G15" i="8"/>
  <c r="F15" i="8"/>
  <c r="M14" i="8"/>
  <c r="L14" i="8"/>
  <c r="G14" i="8"/>
  <c r="F14" i="8"/>
  <c r="M13" i="8"/>
  <c r="L13" i="8"/>
  <c r="G13" i="8"/>
  <c r="F13" i="8"/>
  <c r="M12" i="8"/>
  <c r="L12" i="8"/>
  <c r="G12" i="8"/>
  <c r="F12" i="8"/>
  <c r="M11" i="8"/>
  <c r="L11" i="8"/>
  <c r="G11" i="8"/>
  <c r="F11" i="8"/>
  <c r="M10" i="8"/>
  <c r="L10" i="8"/>
  <c r="G10" i="8"/>
  <c r="F10" i="8"/>
  <c r="M9" i="8"/>
  <c r="L9" i="8"/>
  <c r="G9" i="8"/>
  <c r="F9" i="8"/>
  <c r="M8" i="8"/>
  <c r="L8" i="8"/>
  <c r="F8" i="8"/>
  <c r="M7" i="8"/>
  <c r="L7" i="8"/>
  <c r="G7" i="8"/>
  <c r="F7" i="8"/>
  <c r="M6" i="8"/>
  <c r="L6" i="8"/>
  <c r="G6" i="8"/>
  <c r="F6" i="8"/>
  <c r="M5" i="8"/>
  <c r="L5" i="8"/>
  <c r="G5" i="8"/>
  <c r="F5" i="8"/>
  <c r="M4" i="8"/>
  <c r="L4" i="8"/>
  <c r="G4" i="8"/>
  <c r="F4" i="8"/>
  <c r="M3" i="8"/>
  <c r="L3" i="8"/>
  <c r="G3" i="8"/>
  <c r="F3" i="8"/>
  <c r="I39" i="9" l="1"/>
  <c r="I38" i="8"/>
  <c r="M34" i="8"/>
  <c r="I37" i="8"/>
  <c r="F5" i="20" s="1"/>
  <c r="F34" i="8"/>
  <c r="G34" i="8"/>
  <c r="L34" i="8"/>
  <c r="K34" i="8"/>
  <c r="I34" i="6"/>
  <c r="J34" i="6"/>
  <c r="H34" i="6"/>
  <c r="E34" i="6"/>
  <c r="C34" i="6"/>
  <c r="B34" i="6"/>
  <c r="M33" i="6"/>
  <c r="L33" i="6"/>
  <c r="K33" i="6"/>
  <c r="G33" i="6"/>
  <c r="F33" i="6"/>
  <c r="M32" i="6"/>
  <c r="L32" i="6"/>
  <c r="K32" i="6"/>
  <c r="G32" i="6"/>
  <c r="F32" i="6"/>
  <c r="M31" i="6"/>
  <c r="L31" i="6"/>
  <c r="K31" i="6"/>
  <c r="G31" i="6"/>
  <c r="F31" i="6"/>
  <c r="M30" i="6"/>
  <c r="L30" i="6"/>
  <c r="K30" i="6"/>
  <c r="G30" i="6"/>
  <c r="F30" i="6"/>
  <c r="M29" i="6"/>
  <c r="L29" i="6"/>
  <c r="K29" i="6"/>
  <c r="G29" i="6"/>
  <c r="F29" i="6"/>
  <c r="M28" i="6"/>
  <c r="L28" i="6"/>
  <c r="K28" i="6"/>
  <c r="G28" i="6"/>
  <c r="F28" i="6"/>
  <c r="M27" i="6"/>
  <c r="L27" i="6"/>
  <c r="K27" i="6"/>
  <c r="G27" i="6"/>
  <c r="F27" i="6"/>
  <c r="M26" i="6"/>
  <c r="L26" i="6"/>
  <c r="K26" i="6"/>
  <c r="G26" i="6"/>
  <c r="F26" i="6"/>
  <c r="M25" i="6"/>
  <c r="L25" i="6"/>
  <c r="K25" i="6"/>
  <c r="G25" i="6"/>
  <c r="F25" i="6"/>
  <c r="M24" i="6"/>
  <c r="L24" i="6"/>
  <c r="K24" i="6"/>
  <c r="G24" i="6"/>
  <c r="F24" i="6"/>
  <c r="M23" i="6"/>
  <c r="L23" i="6"/>
  <c r="K23" i="6"/>
  <c r="G23" i="6"/>
  <c r="F23" i="6"/>
  <c r="M22" i="6"/>
  <c r="L22" i="6"/>
  <c r="K22" i="6"/>
  <c r="G22" i="6"/>
  <c r="F22" i="6"/>
  <c r="M21" i="6"/>
  <c r="L21" i="6"/>
  <c r="K21" i="6"/>
  <c r="G21" i="6"/>
  <c r="F21" i="6"/>
  <c r="M20" i="6"/>
  <c r="L20" i="6"/>
  <c r="K20" i="6"/>
  <c r="G20" i="6"/>
  <c r="F20" i="6"/>
  <c r="M19" i="6"/>
  <c r="L19" i="6"/>
  <c r="K19" i="6"/>
  <c r="G19" i="6"/>
  <c r="F19" i="6"/>
  <c r="M18" i="6"/>
  <c r="L18" i="6"/>
  <c r="K18" i="6"/>
  <c r="G18" i="6"/>
  <c r="F18" i="6"/>
  <c r="M17" i="6"/>
  <c r="L17" i="6"/>
  <c r="K17" i="6"/>
  <c r="G17" i="6"/>
  <c r="F17" i="6"/>
  <c r="M16" i="6"/>
  <c r="L16" i="6"/>
  <c r="K16" i="6"/>
  <c r="G16" i="6"/>
  <c r="F16" i="6"/>
  <c r="M15" i="6"/>
  <c r="L15" i="6"/>
  <c r="K15" i="6"/>
  <c r="G15" i="6"/>
  <c r="F15" i="6"/>
  <c r="M14" i="6"/>
  <c r="L14" i="6"/>
  <c r="K14" i="6"/>
  <c r="G14" i="6"/>
  <c r="F14" i="6"/>
  <c r="M13" i="6"/>
  <c r="L13" i="6"/>
  <c r="K13" i="6"/>
  <c r="G13" i="6"/>
  <c r="F13" i="6"/>
  <c r="M12" i="6"/>
  <c r="L12" i="6"/>
  <c r="K12" i="6"/>
  <c r="G12" i="6"/>
  <c r="F12" i="6"/>
  <c r="M11" i="6"/>
  <c r="L11" i="6"/>
  <c r="K11" i="6"/>
  <c r="G11" i="6"/>
  <c r="F11" i="6"/>
  <c r="M10" i="6"/>
  <c r="L10" i="6"/>
  <c r="K10" i="6"/>
  <c r="G10" i="6"/>
  <c r="F10" i="6"/>
  <c r="M9" i="6"/>
  <c r="L9" i="6"/>
  <c r="K9" i="6"/>
  <c r="G9" i="6"/>
  <c r="F9" i="6"/>
  <c r="M8" i="6"/>
  <c r="L8" i="6"/>
  <c r="K8" i="6"/>
  <c r="F8" i="6"/>
  <c r="M7" i="6"/>
  <c r="L7" i="6"/>
  <c r="K7" i="6"/>
  <c r="G7" i="6"/>
  <c r="F7" i="6"/>
  <c r="M6" i="6"/>
  <c r="L6" i="6"/>
  <c r="K6" i="6"/>
  <c r="G6" i="6"/>
  <c r="F6" i="6"/>
  <c r="M5" i="6"/>
  <c r="L5" i="6"/>
  <c r="K5" i="6"/>
  <c r="G5" i="6"/>
  <c r="F5" i="6"/>
  <c r="M4" i="6"/>
  <c r="L4" i="6"/>
  <c r="K4" i="6"/>
  <c r="G4" i="6"/>
  <c r="F4" i="6"/>
  <c r="M3" i="6"/>
  <c r="L3" i="6"/>
  <c r="K3" i="6"/>
  <c r="G3" i="6"/>
  <c r="F3" i="6"/>
  <c r="L33" i="5"/>
  <c r="M33" i="5"/>
  <c r="G33" i="5"/>
  <c r="F33" i="5"/>
  <c r="K33" i="5"/>
  <c r="I39" i="8" l="1"/>
  <c r="I38" i="6"/>
  <c r="G34" i="6"/>
  <c r="M34" i="6"/>
  <c r="I37" i="6"/>
  <c r="F4" i="20" s="1"/>
  <c r="F16" i="20" s="1"/>
  <c r="L34" i="6"/>
  <c r="F34" i="6"/>
  <c r="K34" i="6"/>
  <c r="J34" i="5"/>
  <c r="I34" i="5"/>
  <c r="H34" i="5"/>
  <c r="E34" i="5"/>
  <c r="C34" i="5"/>
  <c r="B34" i="5"/>
  <c r="M32" i="5"/>
  <c r="L32" i="5"/>
  <c r="K32" i="5"/>
  <c r="G32" i="5"/>
  <c r="F32" i="5"/>
  <c r="M31" i="5"/>
  <c r="L31" i="5"/>
  <c r="K31" i="5"/>
  <c r="G31" i="5"/>
  <c r="F31" i="5"/>
  <c r="M30" i="5"/>
  <c r="L30" i="5"/>
  <c r="K30" i="5"/>
  <c r="G30" i="5"/>
  <c r="F30" i="5"/>
  <c r="M29" i="5"/>
  <c r="L29" i="5"/>
  <c r="K29" i="5"/>
  <c r="G29" i="5"/>
  <c r="F29" i="5"/>
  <c r="M28" i="5"/>
  <c r="L28" i="5"/>
  <c r="K28" i="5"/>
  <c r="G28" i="5"/>
  <c r="F28" i="5"/>
  <c r="M27" i="5"/>
  <c r="L27" i="5"/>
  <c r="K27" i="5"/>
  <c r="G27" i="5"/>
  <c r="F27" i="5"/>
  <c r="M26" i="5"/>
  <c r="L26" i="5"/>
  <c r="K26" i="5"/>
  <c r="G26" i="5"/>
  <c r="F26" i="5"/>
  <c r="M25" i="5"/>
  <c r="L25" i="5"/>
  <c r="K25" i="5"/>
  <c r="G25" i="5"/>
  <c r="F25" i="5"/>
  <c r="M24" i="5"/>
  <c r="L24" i="5"/>
  <c r="K24" i="5"/>
  <c r="G24" i="5"/>
  <c r="F24" i="5"/>
  <c r="M23" i="5"/>
  <c r="L23" i="5"/>
  <c r="K23" i="5"/>
  <c r="G23" i="5"/>
  <c r="F23" i="5"/>
  <c r="M22" i="5"/>
  <c r="L22" i="5"/>
  <c r="K22" i="5"/>
  <c r="G22" i="5"/>
  <c r="F22" i="5"/>
  <c r="M21" i="5"/>
  <c r="L21" i="5"/>
  <c r="K21" i="5"/>
  <c r="G21" i="5"/>
  <c r="F21" i="5"/>
  <c r="M20" i="5"/>
  <c r="L20" i="5"/>
  <c r="K20" i="5"/>
  <c r="G20" i="5"/>
  <c r="F20" i="5"/>
  <c r="M19" i="5"/>
  <c r="L19" i="5"/>
  <c r="K19" i="5"/>
  <c r="G19" i="5"/>
  <c r="F19" i="5"/>
  <c r="M18" i="5"/>
  <c r="L18" i="5"/>
  <c r="K18" i="5"/>
  <c r="G18" i="5"/>
  <c r="F18" i="5"/>
  <c r="M17" i="5"/>
  <c r="L17" i="5"/>
  <c r="K17" i="5"/>
  <c r="G17" i="5"/>
  <c r="F17" i="5"/>
  <c r="M16" i="5"/>
  <c r="L16" i="5"/>
  <c r="K16" i="5"/>
  <c r="G16" i="5"/>
  <c r="F16" i="5"/>
  <c r="M15" i="5"/>
  <c r="L15" i="5"/>
  <c r="K15" i="5"/>
  <c r="G15" i="5"/>
  <c r="F15" i="5"/>
  <c r="M14" i="5"/>
  <c r="L14" i="5"/>
  <c r="K14" i="5"/>
  <c r="G14" i="5"/>
  <c r="F14" i="5"/>
  <c r="M13" i="5"/>
  <c r="L13" i="5"/>
  <c r="K13" i="5"/>
  <c r="G13" i="5"/>
  <c r="F13" i="5"/>
  <c r="M12" i="5"/>
  <c r="L12" i="5"/>
  <c r="K12" i="5"/>
  <c r="G12" i="5"/>
  <c r="F12" i="5"/>
  <c r="M11" i="5"/>
  <c r="L11" i="5"/>
  <c r="K11" i="5"/>
  <c r="G11" i="5"/>
  <c r="F11" i="5"/>
  <c r="M10" i="5"/>
  <c r="L10" i="5"/>
  <c r="K10" i="5"/>
  <c r="G10" i="5"/>
  <c r="F10" i="5"/>
  <c r="M9" i="5"/>
  <c r="L9" i="5"/>
  <c r="K9" i="5"/>
  <c r="G9" i="5"/>
  <c r="F9" i="5"/>
  <c r="M8" i="5"/>
  <c r="L8" i="5"/>
  <c r="K8" i="5"/>
  <c r="F8" i="5"/>
  <c r="M7" i="5"/>
  <c r="L7" i="5"/>
  <c r="K7" i="5"/>
  <c r="G7" i="5"/>
  <c r="F7" i="5"/>
  <c r="M6" i="5"/>
  <c r="L6" i="5"/>
  <c r="K6" i="5"/>
  <c r="G6" i="5"/>
  <c r="F6" i="5"/>
  <c r="M5" i="5"/>
  <c r="L5" i="5"/>
  <c r="K5" i="5"/>
  <c r="G5" i="5"/>
  <c r="F5" i="5"/>
  <c r="M4" i="5"/>
  <c r="L4" i="5"/>
  <c r="K4" i="5"/>
  <c r="G4" i="5"/>
  <c r="F4" i="5"/>
  <c r="M3" i="5"/>
  <c r="L3" i="5"/>
  <c r="K3" i="5"/>
  <c r="G3" i="5"/>
  <c r="F3" i="5"/>
  <c r="E16" i="20" l="1"/>
  <c r="G16" i="20"/>
  <c r="I39" i="6"/>
  <c r="I38" i="5"/>
  <c r="L34" i="5"/>
  <c r="M34" i="5"/>
  <c r="F34" i="5"/>
  <c r="G34" i="5"/>
  <c r="K34" i="5"/>
  <c r="I37" i="5"/>
  <c r="H34" i="4"/>
  <c r="E34" i="4"/>
  <c r="M33" i="4"/>
  <c r="L33" i="4"/>
  <c r="K33" i="4"/>
  <c r="G33" i="4"/>
  <c r="F33" i="4"/>
  <c r="M32" i="4"/>
  <c r="L32" i="4"/>
  <c r="K32" i="4"/>
  <c r="G32" i="4"/>
  <c r="F32" i="4"/>
  <c r="M31" i="4"/>
  <c r="L31" i="4"/>
  <c r="K31" i="4"/>
  <c r="G31" i="4"/>
  <c r="F31" i="4"/>
  <c r="M30" i="4"/>
  <c r="L30" i="4"/>
  <c r="K30" i="4"/>
  <c r="G30" i="4"/>
  <c r="F30" i="4"/>
  <c r="M29" i="4"/>
  <c r="L29" i="4"/>
  <c r="K29" i="4"/>
  <c r="G29" i="4"/>
  <c r="F29" i="4"/>
  <c r="M28" i="4"/>
  <c r="L28" i="4"/>
  <c r="G28" i="4"/>
  <c r="F28" i="4"/>
  <c r="M27" i="4"/>
  <c r="L27" i="4"/>
  <c r="K27" i="4"/>
  <c r="G27" i="4"/>
  <c r="F27" i="4"/>
  <c r="M26" i="4"/>
  <c r="L26" i="4"/>
  <c r="K26" i="4"/>
  <c r="G26" i="4"/>
  <c r="F26" i="4"/>
  <c r="M25" i="4"/>
  <c r="L25" i="4"/>
  <c r="K25" i="4"/>
  <c r="G25" i="4"/>
  <c r="F25" i="4"/>
  <c r="M24" i="4"/>
  <c r="L24" i="4"/>
  <c r="K24" i="4"/>
  <c r="G24" i="4"/>
  <c r="F24" i="4"/>
  <c r="K23" i="4"/>
  <c r="J23" i="4"/>
  <c r="M23" i="4" s="1"/>
  <c r="I23" i="4"/>
  <c r="L23" i="4" s="1"/>
  <c r="G23" i="4"/>
  <c r="F23" i="4"/>
  <c r="M22" i="4"/>
  <c r="L22" i="4"/>
  <c r="K22" i="4"/>
  <c r="G22" i="4"/>
  <c r="F22" i="4"/>
  <c r="M21" i="4"/>
  <c r="L21" i="4"/>
  <c r="K21" i="4"/>
  <c r="G21" i="4"/>
  <c r="F21" i="4"/>
  <c r="M20" i="4"/>
  <c r="L20" i="4"/>
  <c r="K20" i="4"/>
  <c r="G20" i="4"/>
  <c r="F20" i="4"/>
  <c r="M19" i="4"/>
  <c r="L19" i="4"/>
  <c r="K19" i="4"/>
  <c r="G19" i="4"/>
  <c r="F19" i="4"/>
  <c r="M18" i="4"/>
  <c r="I18" i="4"/>
  <c r="L18" i="4" s="1"/>
  <c r="F18" i="4"/>
  <c r="C18" i="4"/>
  <c r="G18" i="4" s="1"/>
  <c r="M17" i="4"/>
  <c r="L17" i="4"/>
  <c r="K17" i="4"/>
  <c r="G17" i="4"/>
  <c r="F17" i="4"/>
  <c r="M16" i="4"/>
  <c r="L16" i="4"/>
  <c r="K16" i="4"/>
  <c r="G16" i="4"/>
  <c r="F16" i="4"/>
  <c r="M15" i="4"/>
  <c r="L15" i="4"/>
  <c r="K15" i="4"/>
  <c r="G15" i="4"/>
  <c r="F15" i="4"/>
  <c r="M14" i="4"/>
  <c r="L14" i="4"/>
  <c r="K14" i="4"/>
  <c r="G14" i="4"/>
  <c r="F14" i="4"/>
  <c r="M13" i="4"/>
  <c r="L13" i="4"/>
  <c r="K13" i="4"/>
  <c r="G13" i="4"/>
  <c r="F13" i="4"/>
  <c r="M12" i="4"/>
  <c r="L12" i="4"/>
  <c r="K12" i="4"/>
  <c r="G12" i="4"/>
  <c r="F12" i="4"/>
  <c r="M11" i="4"/>
  <c r="L11" i="4"/>
  <c r="K11" i="4"/>
  <c r="G11" i="4"/>
  <c r="F11" i="4"/>
  <c r="M10" i="4"/>
  <c r="L10" i="4"/>
  <c r="K10" i="4"/>
  <c r="G10" i="4"/>
  <c r="F10" i="4"/>
  <c r="M9" i="4"/>
  <c r="I9" i="4"/>
  <c r="C9" i="4"/>
  <c r="G9" i="4" s="1"/>
  <c r="B9" i="4"/>
  <c r="F9" i="4" s="1"/>
  <c r="M8" i="4"/>
  <c r="L8" i="4"/>
  <c r="K8" i="4"/>
  <c r="G8" i="4"/>
  <c r="F8" i="4"/>
  <c r="M7" i="4"/>
  <c r="K7" i="4"/>
  <c r="I7" i="4"/>
  <c r="L7" i="4" s="1"/>
  <c r="G7" i="4"/>
  <c r="F7" i="4"/>
  <c r="M6" i="4"/>
  <c r="K6" i="4"/>
  <c r="I6" i="4"/>
  <c r="L6" i="4" s="1"/>
  <c r="G6" i="4"/>
  <c r="F6" i="4"/>
  <c r="M5" i="4"/>
  <c r="I5" i="4"/>
  <c r="G5" i="4"/>
  <c r="B5" i="4"/>
  <c r="F5" i="4" s="1"/>
  <c r="M4" i="4"/>
  <c r="K4" i="4"/>
  <c r="I4" i="4"/>
  <c r="L4" i="4" s="1"/>
  <c r="G4" i="4"/>
  <c r="F4" i="4"/>
  <c r="K3" i="4"/>
  <c r="J3" i="4"/>
  <c r="I3" i="4"/>
  <c r="L3" i="4" s="1"/>
  <c r="G3" i="4"/>
  <c r="F3" i="4"/>
  <c r="K5" i="4" l="1"/>
  <c r="K18" i="4"/>
  <c r="C34" i="4"/>
  <c r="L9" i="4"/>
  <c r="B34" i="4"/>
  <c r="K9" i="4"/>
  <c r="I37" i="4" s="1"/>
  <c r="G34" i="4"/>
  <c r="L5" i="4"/>
  <c r="J34" i="4"/>
  <c r="I39" i="5"/>
  <c r="L34" i="4"/>
  <c r="F34" i="4"/>
  <c r="M3" i="4"/>
  <c r="M34" i="4" s="1"/>
  <c r="I34" i="4"/>
  <c r="I38" i="4" s="1"/>
  <c r="K34" i="4" l="1"/>
  <c r="I39" i="4"/>
  <c r="L9" i="3" l="1"/>
  <c r="I34" i="3"/>
  <c r="J34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" i="3"/>
  <c r="L4" i="3"/>
  <c r="L5" i="3"/>
  <c r="L6" i="3"/>
  <c r="L7" i="3"/>
  <c r="L8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" i="3"/>
  <c r="H34" i="3"/>
  <c r="K9" i="3"/>
  <c r="F4" i="3"/>
  <c r="F5" i="3"/>
  <c r="F6" i="3"/>
  <c r="F7" i="3"/>
  <c r="F8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" i="3"/>
  <c r="G4" i="3"/>
  <c r="G5" i="3"/>
  <c r="G6" i="3"/>
  <c r="G7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" i="3"/>
  <c r="K4" i="3"/>
  <c r="K5" i="3"/>
  <c r="K6" i="3"/>
  <c r="K7" i="3"/>
  <c r="K8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" i="3"/>
  <c r="C34" i="3"/>
  <c r="E34" i="3"/>
  <c r="M34" i="3" l="1"/>
  <c r="I37" i="3"/>
  <c r="I38" i="3"/>
  <c r="L34" i="3"/>
  <c r="K34" i="3"/>
  <c r="G34" i="3"/>
  <c r="B34" i="3"/>
  <c r="F9" i="3"/>
  <c r="F34" i="3" s="1"/>
  <c r="I39" i="3" l="1"/>
  <c r="N34" i="19"/>
  <c r="N36" i="19" s="1"/>
</calcChain>
</file>

<file path=xl/sharedStrings.xml><?xml version="1.0" encoding="utf-8"?>
<sst xmlns="http://schemas.openxmlformats.org/spreadsheetml/2006/main" count="523" uniqueCount="45">
  <si>
    <t>SATIŞ</t>
  </si>
  <si>
    <t>NAKİT SATIŞ</t>
  </si>
  <si>
    <t>KREDİ SATIŞ</t>
  </si>
  <si>
    <t>CİRO</t>
  </si>
  <si>
    <t>TOPLAM</t>
  </si>
  <si>
    <t>Z RAPORU NAKİT</t>
  </si>
  <si>
    <t>Z RAPORU KREDİ</t>
  </si>
  <si>
    <t>NAKİT FARK</t>
  </si>
  <si>
    <t>KREDİ FARK</t>
  </si>
  <si>
    <t>KDV</t>
  </si>
  <si>
    <t>NAKİT HARCAMA</t>
  </si>
  <si>
    <t>KREDİ HARCAMA</t>
  </si>
  <si>
    <t>CEP NAKİT</t>
  </si>
  <si>
    <t>CEP KREDİ</t>
  </si>
  <si>
    <t>TOPLAM CİRO</t>
  </si>
  <si>
    <t xml:space="preserve">TOPLAM CİRODAN KALAN </t>
  </si>
  <si>
    <t>TOPLAM HARCAMA</t>
  </si>
  <si>
    <t xml:space="preserve"> </t>
  </si>
  <si>
    <t xml:space="preserve">   </t>
  </si>
  <si>
    <t>?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</si>
  <si>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</si>
  <si>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</si>
  <si>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</si>
  <si>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</si>
  <si>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</si>
  <si>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</si>
  <si>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</si>
  <si>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</si>
  <si>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</si>
  <si>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</si>
  <si>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</si>
  <si>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</si>
  <si>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+</t>
  </si>
  <si>
    <t>YATACAK OLAN</t>
  </si>
  <si>
    <t>KESİNTİ</t>
  </si>
  <si>
    <t>23 Mayıs 2026 Cumartesi</t>
  </si>
  <si>
    <t>24 Mayıs 2026 Cumartesi</t>
  </si>
  <si>
    <t>25 Mayıs 2026 Cumartesi</t>
  </si>
  <si>
    <t>26 Mayıs 2026 Cumartesi</t>
  </si>
  <si>
    <t>27 Mayıs 2026 Cumartesi</t>
  </si>
  <si>
    <t>28 Mayıs 2026 Cumartesi</t>
  </si>
  <si>
    <t>29 Mayıs 2026 Cumartesi</t>
  </si>
  <si>
    <t>30 Mayıs 2026 Cumartesi</t>
  </si>
  <si>
    <t>31 Mayıs 2026 Cumartesi</t>
  </si>
  <si>
    <t>31 Temmuz 2026 Cuma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</si>
</sst>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₺-41F]* #,##0.00_-;\-[$₺-41F]* #,##0.00_-;_-[$₺-41F]* &quot;-&quot;??_-;_-@_-"/>
    <numFmt numFmtId="165" formatCode="[$-F800]dddd\,\ mmmm\ dd\,\ yyyy"/>
  </numFmts>
  <fonts count="9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616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2">
    <xf numFmtId="0" fontId="0" fillId="0" borderId="0" xfId="0"/>
    <xf numFmtId="0" fontId="0" fillId="3" borderId="0" xfId="0" applyFill="1"/>
    <xf numFmtId="14" fontId="3" fillId="0" borderId="1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5" borderId="6" xfId="0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/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2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4" fontId="3" fillId="5" borderId="3" xfId="0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7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/>
    <xf numFmtId="0" fontId="0" fillId="0" borderId="0" xfId="0" applyAlignment="1">
      <alignment horizontal="right"/>
    </xf>
    <xf numFmtId="3" fontId="0" fillId="9" borderId="0" xfId="0" applyNumberFormat="1" applyFill="1"/>
    <xf numFmtId="2" fontId="0" fillId="5" borderId="1" xfId="0" applyNumberForma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2" fontId="7" fillId="10" borderId="3" xfId="0" applyNumberFormat="1" applyFont="1" applyFill="1" applyBorder="1" applyAlignment="1">
      <alignment horizontal="center" vertical="center"/>
    </xf>
    <xf numFmtId="2" fontId="7" fillId="10" borderId="0" xfId="0" applyNumberFormat="1" applyFont="1" applyFill="1"/>
    <xf numFmtId="0" fontId="1" fillId="0" borderId="0" xfId="0" applyFont="1" applyAlignment="1">
      <alignment horizontal="right" vertic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colors>
    <mruColors>
      <color rgb="FFF61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2324-532D-4C68-B3B8-94FCBFB0EDD7}">
  <dimension ref="A1:R39"/>
  <sheetViews>
    <sheetView tabSelected="1" topLeftCell="A2" zoomScale="96" zoomScaleNormal="96" workbookViewId="0">
      <selection activeCell="N34" sqref="N34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5" customWidth="1"/>
    <col min="7" max="7" width="14.88671875" style="1" customWidth="1"/>
    <col min="8" max="8" width="15.6640625" bestFit="1" customWidth="1"/>
    <col min="9" max="11" width="14.88671875" customWidth="1"/>
    <col min="12" max="12" width="14.6640625" style="29" bestFit="1" customWidth="1"/>
    <col min="13" max="13" width="13.33203125" bestFit="1" customWidth="1"/>
    <col min="14" max="14" width="15.33203125" customWidth="1"/>
    <col min="15" max="15" width="14.6640625" bestFit="1" customWidth="1"/>
  </cols>
  <sheetData>
    <row r="1" spans="1:15" ht="16.2" hidden="1" thickBot="1" x14ac:dyDescent="0.35"/>
    <row r="2" spans="1:15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48" t="s">
        <v>33</v>
      </c>
      <c r="G2" s="5" t="s">
        <v>7</v>
      </c>
      <c r="H2" s="5" t="s">
        <v>8</v>
      </c>
      <c r="I2" s="9" t="s">
        <v>9</v>
      </c>
      <c r="J2" s="10" t="s">
        <v>10</v>
      </c>
      <c r="K2" s="10" t="s">
        <v>11</v>
      </c>
      <c r="L2" s="39" t="s">
        <v>3</v>
      </c>
      <c r="M2" s="11" t="s">
        <v>12</v>
      </c>
      <c r="N2" s="11" t="s">
        <v>13</v>
      </c>
    </row>
    <row r="3" spans="1:15" x14ac:dyDescent="0.3">
      <c r="A3" s="38">
        <v>46296</v>
      </c>
      <c r="B3" s="14">
        <v>1050</v>
      </c>
      <c r="C3" s="14">
        <v>5820</v>
      </c>
      <c r="D3" s="14">
        <v>0</v>
      </c>
      <c r="E3" s="14">
        <v>5820</v>
      </c>
      <c r="F3" s="49">
        <f>+E3-(E3*3.99/100)</f>
        <v>5587.7820000000002</v>
      </c>
      <c r="G3" s="15">
        <f t="shared" ref="G3:H32" si="0">SUM(D3-B3)</f>
        <v>-1050</v>
      </c>
      <c r="H3" s="15">
        <f t="shared" si="0"/>
        <v>0</v>
      </c>
      <c r="I3" s="20">
        <f>+C3*2/12</f>
        <v>970</v>
      </c>
      <c r="J3" s="17">
        <v>350</v>
      </c>
      <c r="K3" s="17">
        <v>0</v>
      </c>
      <c r="L3" s="40">
        <f t="shared" ref="L3:L33" si="1">+E3+B3</f>
        <v>6870</v>
      </c>
      <c r="M3" s="25">
        <f>SUM(B3-J3)</f>
        <v>700</v>
      </c>
      <c r="N3" s="25">
        <f>SUM(E3-K3)</f>
        <v>5820</v>
      </c>
    </row>
    <row r="4" spans="1:15" x14ac:dyDescent="0.3">
      <c r="A4" s="38">
        <f t="shared" ref="A4:A33" si="2">+A3+1</f>
        <v>46297</v>
      </c>
      <c r="B4" s="14">
        <v>2100</v>
      </c>
      <c r="C4" s="14">
        <v>2950</v>
      </c>
      <c r="D4" s="18">
        <v>0</v>
      </c>
      <c r="E4" s="18">
        <v>2950</v>
      </c>
      <c r="F4" s="49">
        <f t="shared" ref="F4:F34" si="3">+E4-(E4*3.99/100)</f>
        <v>2832.2950000000001</v>
      </c>
      <c r="G4" s="15">
        <f t="shared" si="0"/>
        <v>-2100</v>
      </c>
      <c r="H4" s="15">
        <f t="shared" si="0"/>
        <v>0</v>
      </c>
      <c r="I4" s="20">
        <f t="shared" ref="I4:I9" si="4">+C4*2/12</f>
        <v>491.66666666666669</v>
      </c>
      <c r="J4" s="21">
        <v>145</v>
      </c>
      <c r="K4" s="21">
        <v>1130</v>
      </c>
      <c r="L4" s="40">
        <f t="shared" si="1"/>
        <v>5050</v>
      </c>
      <c r="M4" s="26">
        <f t="shared" ref="M4:M33" si="5">SUM(B4-J4)</f>
        <v>1955</v>
      </c>
      <c r="N4" s="25">
        <f t="shared" ref="N4:N33" si="6">SUM(E4-K4)</f>
        <v>1820</v>
      </c>
    </row>
    <row r="5" spans="1:15" x14ac:dyDescent="0.3">
      <c r="A5" s="38">
        <f t="shared" si="2"/>
        <v>46298</v>
      </c>
      <c r="B5" s="18">
        <v>1050</v>
      </c>
      <c r="C5" s="18">
        <v>6860</v>
      </c>
      <c r="D5" s="18">
        <v>0</v>
      </c>
      <c r="E5" s="18">
        <v>6860</v>
      </c>
      <c r="F5" s="49">
        <f t="shared" si="3"/>
        <v>6586.2860000000001</v>
      </c>
      <c r="G5" s="15">
        <f t="shared" si="0"/>
        <v>-1050</v>
      </c>
      <c r="H5" s="15">
        <f t="shared" si="0"/>
        <v>0</v>
      </c>
      <c r="I5" s="20">
        <f>+C5*2/12</f>
        <v>1143.3333333333333</v>
      </c>
      <c r="J5" s="21">
        <v>100</v>
      </c>
      <c r="K5" s="21">
        <v>0</v>
      </c>
      <c r="L5" s="40">
        <f t="shared" si="1"/>
        <v>7910</v>
      </c>
      <c r="M5" s="26">
        <f t="shared" si="5"/>
        <v>950</v>
      </c>
      <c r="N5" s="25">
        <f t="shared" si="6"/>
        <v>6860</v>
      </c>
    </row>
    <row r="6" spans="1:15" x14ac:dyDescent="0.3">
      <c r="A6" s="38">
        <f t="shared" si="2"/>
        <v>46299</v>
      </c>
      <c r="B6" s="18">
        <v>200</v>
      </c>
      <c r="C6" s="18">
        <v>3010</v>
      </c>
      <c r="D6" s="18">
        <v>0</v>
      </c>
      <c r="E6" s="18">
        <v>3010</v>
      </c>
      <c r="F6" s="49">
        <f t="shared" si="3"/>
        <v>2889.9009999999998</v>
      </c>
      <c r="G6" s="15">
        <f t="shared" si="0"/>
        <v>-200</v>
      </c>
      <c r="H6" s="15">
        <f t="shared" si="0"/>
        <v>0</v>
      </c>
      <c r="I6" s="20">
        <f t="shared" si="4"/>
        <v>501.66666666666669</v>
      </c>
      <c r="J6" s="21">
        <v>300</v>
      </c>
      <c r="K6" s="21">
        <v>0</v>
      </c>
      <c r="L6" s="40">
        <f t="shared" si="1"/>
        <v>3210</v>
      </c>
      <c r="M6" s="26">
        <f t="shared" si="5"/>
        <v>-100</v>
      </c>
      <c r="N6" s="25">
        <f t="shared" si="6"/>
        <v>3010</v>
      </c>
    </row>
    <row r="7" spans="1:15" x14ac:dyDescent="0.3">
      <c r="A7" s="38">
        <f t="shared" si="2"/>
        <v>46300</v>
      </c>
      <c r="B7" s="18">
        <v>200</v>
      </c>
      <c r="C7" s="18">
        <v>1050</v>
      </c>
      <c r="D7" s="18">
        <v>0</v>
      </c>
      <c r="E7" s="18">
        <v>1050</v>
      </c>
      <c r="F7" s="49">
        <f t="shared" si="3"/>
        <v>1008.105</v>
      </c>
      <c r="G7" s="15">
        <f t="shared" si="0"/>
        <v>-200</v>
      </c>
      <c r="H7" s="15">
        <f t="shared" si="0"/>
        <v>0</v>
      </c>
      <c r="I7" s="20">
        <f t="shared" si="4"/>
        <v>175</v>
      </c>
      <c r="J7" s="21">
        <v>0</v>
      </c>
      <c r="K7" s="21">
        <v>16420</v>
      </c>
      <c r="L7" s="40">
        <f t="shared" si="1"/>
        <v>1250</v>
      </c>
      <c r="M7" s="26">
        <f t="shared" si="5"/>
        <v>200</v>
      </c>
      <c r="N7" s="25">
        <f t="shared" si="6"/>
        <v>-15370</v>
      </c>
    </row>
    <row r="8" spans="1:15" x14ac:dyDescent="0.3">
      <c r="A8" s="38">
        <f t="shared" si="2"/>
        <v>46301</v>
      </c>
      <c r="B8" s="18">
        <v>800</v>
      </c>
      <c r="C8" s="18">
        <v>6200</v>
      </c>
      <c r="D8" s="18">
        <v>0</v>
      </c>
      <c r="E8" s="18">
        <v>6220</v>
      </c>
      <c r="F8" s="49">
        <f t="shared" si="3"/>
        <v>5971.8220000000001</v>
      </c>
      <c r="G8" s="15">
        <f t="shared" si="0"/>
        <v>-800</v>
      </c>
      <c r="H8" s="15">
        <f t="shared" si="0"/>
        <v>20</v>
      </c>
      <c r="I8" s="20">
        <f>+C8*2/12</f>
        <v>1033.3333333333333</v>
      </c>
      <c r="J8" s="21">
        <v>0</v>
      </c>
      <c r="K8" s="21">
        <v>0</v>
      </c>
      <c r="L8" s="40">
        <f t="shared" si="1"/>
        <v>7020</v>
      </c>
      <c r="M8" s="26">
        <v>0</v>
      </c>
      <c r="N8" s="25">
        <f t="shared" si="6"/>
        <v>6220</v>
      </c>
    </row>
    <row r="9" spans="1:15" x14ac:dyDescent="0.3">
      <c r="A9" s="38">
        <f t="shared" si="2"/>
        <v>46302</v>
      </c>
      <c r="B9" s="18">
        <v>550</v>
      </c>
      <c r="C9" s="18">
        <v>1750</v>
      </c>
      <c r="D9" s="18">
        <v>0</v>
      </c>
      <c r="E9" s="18">
        <v>1750</v>
      </c>
      <c r="F9" s="49">
        <f t="shared" si="3"/>
        <v>1680.175</v>
      </c>
      <c r="G9" s="15">
        <f t="shared" si="0"/>
        <v>-550</v>
      </c>
      <c r="H9" s="15">
        <f t="shared" si="0"/>
        <v>0</v>
      </c>
      <c r="I9" s="20">
        <f t="shared" si="4"/>
        <v>291.66666666666669</v>
      </c>
      <c r="J9" s="21">
        <v>3000</v>
      </c>
      <c r="K9" s="21">
        <v>0</v>
      </c>
      <c r="L9" s="40">
        <f t="shared" si="1"/>
        <v>2300</v>
      </c>
      <c r="M9" s="26">
        <f t="shared" si="5"/>
        <v>-2450</v>
      </c>
      <c r="N9" s="25">
        <f t="shared" si="6"/>
        <v>1750</v>
      </c>
    </row>
    <row r="10" spans="1:15" x14ac:dyDescent="0.3">
      <c r="A10" s="38">
        <f t="shared" si="2"/>
        <v>46303</v>
      </c>
      <c r="B10" s="18"/>
      <c r="C10" s="18"/>
      <c r="D10" s="18"/>
      <c r="E10" s="18"/>
      <c r="F10" s="49">
        <f t="shared" si="3"/>
        <v>0</v>
      </c>
      <c r="G10" s="15">
        <f t="shared" si="0"/>
        <v>0</v>
      </c>
      <c r="H10" s="15">
        <f t="shared" si="0"/>
        <v>0</v>
      </c>
      <c r="I10" s="20"/>
      <c r="J10" s="21">
        <v>3300</v>
      </c>
      <c r="K10" s="21">
        <v>13450</v>
      </c>
      <c r="L10" s="40">
        <f t="shared" si="1"/>
        <v>0</v>
      </c>
      <c r="M10" s="26">
        <f t="shared" si="5"/>
        <v>-3300</v>
      </c>
      <c r="N10" s="25">
        <f t="shared" si="6"/>
        <v>-13450</v>
      </c>
    </row>
    <row r="11" spans="1:15" x14ac:dyDescent="0.3">
      <c r="A11" s="38">
        <f t="shared" si="2"/>
        <v>46304</v>
      </c>
      <c r="B11" s="18"/>
      <c r="C11" s="18"/>
      <c r="D11" s="18"/>
      <c r="E11" s="18"/>
      <c r="F11" s="49">
        <f t="shared" si="3"/>
        <v>0</v>
      </c>
      <c r="G11" s="15">
        <f t="shared" si="0"/>
        <v>0</v>
      </c>
      <c r="H11" s="15">
        <f t="shared" si="0"/>
        <v>0</v>
      </c>
      <c r="I11" s="20"/>
      <c r="J11" s="21"/>
      <c r="K11" s="21"/>
      <c r="L11" s="40">
        <f t="shared" si="1"/>
        <v>0</v>
      </c>
      <c r="M11" s="26">
        <f t="shared" si="5"/>
        <v>0</v>
      </c>
      <c r="N11" s="25">
        <f t="shared" si="6"/>
        <v>0</v>
      </c>
    </row>
    <row r="12" spans="1:15" x14ac:dyDescent="0.3">
      <c r="A12" s="38">
        <f t="shared" si="2"/>
        <v>46305</v>
      </c>
      <c r="B12" s="18"/>
      <c r="C12" s="18"/>
      <c r="D12" s="18"/>
      <c r="E12" s="18"/>
      <c r="F12" s="49">
        <f t="shared" si="3"/>
        <v>0</v>
      </c>
      <c r="G12" s="15">
        <f t="shared" si="0"/>
        <v>0</v>
      </c>
      <c r="H12" s="15">
        <f t="shared" si="0"/>
        <v>0</v>
      </c>
      <c r="I12" s="20"/>
      <c r="J12" s="21"/>
      <c r="K12" s="21"/>
      <c r="L12" s="40">
        <f t="shared" si="1"/>
        <v>0</v>
      </c>
      <c r="M12" s="26">
        <f t="shared" si="5"/>
        <v>0</v>
      </c>
      <c r="N12" s="25">
        <f t="shared" si="6"/>
        <v>0</v>
      </c>
      <c r="O12" t="s">
        <v>17</v>
      </c>
    </row>
    <row r="13" spans="1:15" x14ac:dyDescent="0.3">
      <c r="A13" s="38">
        <f t="shared" si="2"/>
        <v>46306</v>
      </c>
      <c r="B13" s="18"/>
      <c r="C13" s="18"/>
      <c r="D13" s="18"/>
      <c r="E13" s="18"/>
      <c r="F13" s="49">
        <f t="shared" si="3"/>
        <v>0</v>
      </c>
      <c r="G13" s="15">
        <f t="shared" si="0"/>
        <v>0</v>
      </c>
      <c r="H13" s="15">
        <f t="shared" si="0"/>
        <v>0</v>
      </c>
      <c r="I13" s="20"/>
      <c r="J13" s="21"/>
      <c r="K13" s="21"/>
      <c r="L13" s="40">
        <f t="shared" si="1"/>
        <v>0</v>
      </c>
      <c r="M13" s="26">
        <f t="shared" si="5"/>
        <v>0</v>
      </c>
      <c r="N13" s="25">
        <f t="shared" si="6"/>
        <v>0</v>
      </c>
    </row>
    <row r="14" spans="1:15" x14ac:dyDescent="0.3">
      <c r="A14" s="38">
        <f t="shared" si="2"/>
        <v>46307</v>
      </c>
      <c r="B14" s="18"/>
      <c r="C14" s="18"/>
      <c r="D14" s="18"/>
      <c r="E14" s="18"/>
      <c r="F14" s="49">
        <f t="shared" si="3"/>
        <v>0</v>
      </c>
      <c r="G14" s="15">
        <f t="shared" si="0"/>
        <v>0</v>
      </c>
      <c r="H14" s="15">
        <f t="shared" si="0"/>
        <v>0</v>
      </c>
      <c r="I14" s="20"/>
      <c r="J14" s="21"/>
      <c r="K14" s="21"/>
      <c r="L14" s="40">
        <f t="shared" si="1"/>
        <v>0</v>
      </c>
      <c r="M14" s="26">
        <f t="shared" si="5"/>
        <v>0</v>
      </c>
      <c r="N14" s="25">
        <f t="shared" si="6"/>
        <v>0</v>
      </c>
    </row>
    <row r="15" spans="1:15" x14ac:dyDescent="0.3">
      <c r="A15" s="38">
        <f t="shared" si="2"/>
        <v>46308</v>
      </c>
      <c r="B15" s="18"/>
      <c r="C15" s="18"/>
      <c r="D15" s="18"/>
      <c r="E15" s="18"/>
      <c r="F15" s="49">
        <f t="shared" si="3"/>
        <v>0</v>
      </c>
      <c r="G15" s="15">
        <f t="shared" si="0"/>
        <v>0</v>
      </c>
      <c r="H15" s="15">
        <f t="shared" si="0"/>
        <v>0</v>
      </c>
      <c r="I15" s="20"/>
      <c r="J15" s="21"/>
      <c r="K15" s="21"/>
      <c r="L15" s="40">
        <f t="shared" si="1"/>
        <v>0</v>
      </c>
      <c r="M15" s="26">
        <f t="shared" si="5"/>
        <v>0</v>
      </c>
      <c r="N15" s="25">
        <f t="shared" si="6"/>
        <v>0</v>
      </c>
    </row>
    <row r="16" spans="1:15" x14ac:dyDescent="0.3">
      <c r="A16" s="38">
        <f t="shared" si="2"/>
        <v>46309</v>
      </c>
      <c r="B16" s="18"/>
      <c r="C16" s="18"/>
      <c r="D16" s="18"/>
      <c r="E16" s="18"/>
      <c r="F16" s="49">
        <f t="shared" si="3"/>
        <v>0</v>
      </c>
      <c r="G16" s="15">
        <f t="shared" si="0"/>
        <v>0</v>
      </c>
      <c r="H16" s="15">
        <f t="shared" si="0"/>
        <v>0</v>
      </c>
      <c r="I16" s="20"/>
      <c r="J16" s="21"/>
      <c r="K16" s="21"/>
      <c r="L16" s="40">
        <f t="shared" si="1"/>
        <v>0</v>
      </c>
      <c r="M16" s="26">
        <f t="shared" si="5"/>
        <v>0</v>
      </c>
      <c r="N16" s="25">
        <f t="shared" si="6"/>
        <v>0</v>
      </c>
    </row>
    <row r="17" spans="1:18" x14ac:dyDescent="0.3">
      <c r="A17" s="38">
        <f t="shared" si="2"/>
        <v>46310</v>
      </c>
      <c r="B17" s="18"/>
      <c r="C17" s="18"/>
      <c r="D17" s="18"/>
      <c r="E17" s="18"/>
      <c r="F17" s="49">
        <f t="shared" si="3"/>
        <v>0</v>
      </c>
      <c r="G17" s="15">
        <f t="shared" si="0"/>
        <v>0</v>
      </c>
      <c r="H17" s="15">
        <f t="shared" si="0"/>
        <v>0</v>
      </c>
      <c r="I17" s="20"/>
      <c r="J17" s="21"/>
      <c r="K17" s="21"/>
      <c r="L17" s="40">
        <f t="shared" si="1"/>
        <v>0</v>
      </c>
      <c r="M17" s="26">
        <f t="shared" si="5"/>
        <v>0</v>
      </c>
      <c r="N17" s="25">
        <f t="shared" si="6"/>
        <v>0</v>
      </c>
    </row>
    <row r="18" spans="1:18" x14ac:dyDescent="0.3">
      <c r="A18" s="38">
        <f t="shared" si="2"/>
        <v>46311</v>
      </c>
      <c r="B18" s="18"/>
      <c r="C18" s="18"/>
      <c r="D18" s="18"/>
      <c r="E18" s="18"/>
      <c r="F18" s="49">
        <f t="shared" si="3"/>
        <v>0</v>
      </c>
      <c r="G18" s="15">
        <f t="shared" si="0"/>
        <v>0</v>
      </c>
      <c r="H18" s="15">
        <f t="shared" si="0"/>
        <v>0</v>
      </c>
      <c r="I18" s="20"/>
      <c r="J18" s="21"/>
      <c r="K18" s="21"/>
      <c r="L18" s="40">
        <f t="shared" si="1"/>
        <v>0</v>
      </c>
      <c r="M18" s="26">
        <f t="shared" si="5"/>
        <v>0</v>
      </c>
      <c r="N18" s="25">
        <f t="shared" si="6"/>
        <v>0</v>
      </c>
    </row>
    <row r="19" spans="1:18" x14ac:dyDescent="0.3">
      <c r="A19" s="38">
        <f t="shared" si="2"/>
        <v>46312</v>
      </c>
      <c r="B19" s="18"/>
      <c r="C19" s="18"/>
      <c r="D19" s="18"/>
      <c r="E19" s="18"/>
      <c r="F19" s="49">
        <f t="shared" si="3"/>
        <v>0</v>
      </c>
      <c r="G19" s="15">
        <f t="shared" si="0"/>
        <v>0</v>
      </c>
      <c r="H19" s="15">
        <f t="shared" si="0"/>
        <v>0</v>
      </c>
      <c r="I19" s="20"/>
      <c r="J19" s="21"/>
      <c r="K19" s="21"/>
      <c r="L19" s="40">
        <f t="shared" si="1"/>
        <v>0</v>
      </c>
      <c r="M19" s="26">
        <f t="shared" si="5"/>
        <v>0</v>
      </c>
      <c r="N19" s="25">
        <f t="shared" si="6"/>
        <v>0</v>
      </c>
    </row>
    <row r="20" spans="1:18" x14ac:dyDescent="0.3">
      <c r="A20" s="38">
        <f t="shared" si="2"/>
        <v>46313</v>
      </c>
      <c r="B20" s="18"/>
      <c r="C20" s="18"/>
      <c r="D20" s="18"/>
      <c r="E20" s="18"/>
      <c r="F20" s="49">
        <f t="shared" si="3"/>
        <v>0</v>
      </c>
      <c r="G20" s="15">
        <f t="shared" si="0"/>
        <v>0</v>
      </c>
      <c r="H20" s="15">
        <f t="shared" si="0"/>
        <v>0</v>
      </c>
      <c r="I20" s="20"/>
      <c r="J20" s="21"/>
      <c r="K20" s="21"/>
      <c r="L20" s="40">
        <f t="shared" si="1"/>
        <v>0</v>
      </c>
      <c r="M20" s="26">
        <f t="shared" si="5"/>
        <v>0</v>
      </c>
      <c r="N20" s="25">
        <f t="shared" si="6"/>
        <v>0</v>
      </c>
    </row>
    <row r="21" spans="1:18" x14ac:dyDescent="0.3">
      <c r="A21" s="38">
        <f t="shared" si="2"/>
        <v>46314</v>
      </c>
      <c r="B21" s="18"/>
      <c r="C21" s="18"/>
      <c r="D21" s="18"/>
      <c r="E21" s="18"/>
      <c r="F21" s="49">
        <f t="shared" si="3"/>
        <v>0</v>
      </c>
      <c r="G21" s="15">
        <f t="shared" si="0"/>
        <v>0</v>
      </c>
      <c r="H21" s="15">
        <f t="shared" si="0"/>
        <v>0</v>
      </c>
      <c r="I21" s="20"/>
      <c r="J21" s="21"/>
      <c r="K21" s="21"/>
      <c r="L21" s="40">
        <f t="shared" si="1"/>
        <v>0</v>
      </c>
      <c r="M21" s="26">
        <f t="shared" si="5"/>
        <v>0</v>
      </c>
      <c r="N21" s="25">
        <f t="shared" si="6"/>
        <v>0</v>
      </c>
      <c r="R21">
        <v>5</v>
      </c>
    </row>
    <row r="22" spans="1:18" x14ac:dyDescent="0.3">
      <c r="A22" s="38">
        <f t="shared" si="2"/>
        <v>46315</v>
      </c>
      <c r="B22" s="18"/>
      <c r="C22" s="18"/>
      <c r="D22" s="18"/>
      <c r="E22" s="18"/>
      <c r="F22" s="49">
        <f t="shared" si="3"/>
        <v>0</v>
      </c>
      <c r="G22" s="15">
        <f t="shared" si="0"/>
        <v>0</v>
      </c>
      <c r="H22" s="15">
        <f t="shared" si="0"/>
        <v>0</v>
      </c>
      <c r="I22" s="20"/>
      <c r="J22" s="21"/>
      <c r="K22" s="21"/>
      <c r="L22" s="40">
        <f t="shared" si="1"/>
        <v>0</v>
      </c>
      <c r="M22" s="26">
        <f t="shared" si="5"/>
        <v>0</v>
      </c>
      <c r="N22" s="25">
        <f t="shared" si="6"/>
        <v>0</v>
      </c>
    </row>
    <row r="23" spans="1:18" x14ac:dyDescent="0.3">
      <c r="A23" s="38">
        <f t="shared" si="2"/>
        <v>46316</v>
      </c>
      <c r="B23" s="18"/>
      <c r="C23" s="18"/>
      <c r="D23" s="18"/>
      <c r="E23" s="18"/>
      <c r="F23" s="49">
        <f t="shared" si="3"/>
        <v>0</v>
      </c>
      <c r="G23" s="15">
        <f t="shared" si="0"/>
        <v>0</v>
      </c>
      <c r="H23" s="15">
        <f t="shared" si="0"/>
        <v>0</v>
      </c>
      <c r="I23" s="20"/>
      <c r="J23" s="21"/>
      <c r="K23" s="21"/>
      <c r="L23" s="40">
        <f t="shared" si="1"/>
        <v>0</v>
      </c>
      <c r="M23" s="26">
        <f t="shared" si="5"/>
        <v>0</v>
      </c>
      <c r="N23" s="25">
        <f t="shared" si="6"/>
        <v>0</v>
      </c>
    </row>
    <row r="24" spans="1:18" x14ac:dyDescent="0.3">
      <c r="A24" s="38">
        <f t="shared" si="2"/>
        <v>46317</v>
      </c>
      <c r="B24" s="18"/>
      <c r="C24" s="18"/>
      <c r="D24" s="18"/>
      <c r="E24" s="18"/>
      <c r="F24" s="49">
        <f t="shared" si="3"/>
        <v>0</v>
      </c>
      <c r="G24" s="15">
        <f t="shared" si="0"/>
        <v>0</v>
      </c>
      <c r="H24" s="15">
        <f t="shared" si="0"/>
        <v>0</v>
      </c>
      <c r="I24" s="20"/>
      <c r="J24" s="21"/>
      <c r="K24" s="21"/>
      <c r="L24" s="40">
        <f t="shared" si="1"/>
        <v>0</v>
      </c>
      <c r="M24" s="26">
        <f t="shared" si="5"/>
        <v>0</v>
      </c>
      <c r="N24" s="25">
        <f t="shared" si="6"/>
        <v>0</v>
      </c>
    </row>
    <row r="25" spans="1:18" x14ac:dyDescent="0.3">
      <c r="A25" s="38">
        <f t="shared" si="2"/>
        <v>46318</v>
      </c>
      <c r="B25" s="18"/>
      <c r="C25" s="18"/>
      <c r="D25" s="18"/>
      <c r="E25" s="18"/>
      <c r="F25" s="49">
        <f t="shared" si="3"/>
        <v>0</v>
      </c>
      <c r="G25" s="15">
        <f t="shared" si="0"/>
        <v>0</v>
      </c>
      <c r="H25" s="15">
        <f t="shared" si="0"/>
        <v>0</v>
      </c>
      <c r="I25" s="20"/>
      <c r="J25" s="21"/>
      <c r="K25" s="21"/>
      <c r="L25" s="40">
        <f t="shared" si="1"/>
        <v>0</v>
      </c>
      <c r="M25" s="26">
        <f t="shared" si="5"/>
        <v>0</v>
      </c>
      <c r="N25" s="25">
        <f t="shared" si="6"/>
        <v>0</v>
      </c>
      <c r="O25" t="s">
        <v>18</v>
      </c>
    </row>
    <row r="26" spans="1:18" x14ac:dyDescent="0.3">
      <c r="A26" s="38">
        <f t="shared" si="2"/>
        <v>46319</v>
      </c>
      <c r="B26" s="18"/>
      <c r="C26" s="18"/>
      <c r="D26" s="18"/>
      <c r="E26" s="18"/>
      <c r="F26" s="49">
        <f t="shared" si="3"/>
        <v>0</v>
      </c>
      <c r="G26" s="15">
        <f t="shared" si="0"/>
        <v>0</v>
      </c>
      <c r="H26" s="15">
        <f t="shared" si="0"/>
        <v>0</v>
      </c>
      <c r="I26" s="20"/>
      <c r="J26" s="21"/>
      <c r="K26" s="21"/>
      <c r="L26" s="40">
        <f t="shared" si="1"/>
        <v>0</v>
      </c>
      <c r="M26" s="26">
        <f t="shared" si="5"/>
        <v>0</v>
      </c>
      <c r="N26" s="25">
        <f t="shared" si="6"/>
        <v>0</v>
      </c>
    </row>
    <row r="27" spans="1:18" x14ac:dyDescent="0.3">
      <c r="A27" s="38">
        <f t="shared" si="2"/>
        <v>46320</v>
      </c>
      <c r="B27" s="18"/>
      <c r="C27" s="18"/>
      <c r="D27" s="18"/>
      <c r="E27" s="18"/>
      <c r="F27" s="49">
        <f t="shared" si="3"/>
        <v>0</v>
      </c>
      <c r="G27" s="15">
        <f t="shared" si="0"/>
        <v>0</v>
      </c>
      <c r="H27" s="15">
        <f t="shared" si="0"/>
        <v>0</v>
      </c>
      <c r="I27" s="20"/>
      <c r="J27" s="21"/>
      <c r="K27" s="21"/>
      <c r="L27" s="40">
        <f t="shared" si="1"/>
        <v>0</v>
      </c>
      <c r="M27" s="26">
        <f t="shared" si="5"/>
        <v>0</v>
      </c>
      <c r="N27" s="25">
        <f t="shared" si="6"/>
        <v>0</v>
      </c>
    </row>
    <row r="28" spans="1:18" x14ac:dyDescent="0.3">
      <c r="A28" s="38">
        <f t="shared" si="2"/>
        <v>46321</v>
      </c>
      <c r="B28" s="18"/>
      <c r="C28" s="18"/>
      <c r="D28" s="18"/>
      <c r="E28" s="18"/>
      <c r="F28" s="49">
        <f t="shared" si="3"/>
        <v>0</v>
      </c>
      <c r="G28" s="15">
        <f t="shared" si="0"/>
        <v>0</v>
      </c>
      <c r="H28" s="15">
        <f t="shared" si="0"/>
        <v>0</v>
      </c>
      <c r="I28" s="20"/>
      <c r="J28" s="21"/>
      <c r="K28" s="21"/>
      <c r="L28" s="40">
        <f t="shared" si="1"/>
        <v>0</v>
      </c>
      <c r="M28" s="26">
        <f t="shared" si="5"/>
        <v>0</v>
      </c>
      <c r="N28" s="25">
        <f t="shared" si="6"/>
        <v>0</v>
      </c>
    </row>
    <row r="29" spans="1:18" x14ac:dyDescent="0.3">
      <c r="A29" s="38">
        <f t="shared" si="2"/>
        <v>46322</v>
      </c>
      <c r="B29" s="18"/>
      <c r="C29" s="18"/>
      <c r="D29" s="18"/>
      <c r="E29" s="18"/>
      <c r="F29" s="49">
        <f t="shared" si="3"/>
        <v>0</v>
      </c>
      <c r="G29" s="15">
        <f t="shared" si="0"/>
        <v>0</v>
      </c>
      <c r="H29" s="15">
        <f t="shared" si="0"/>
        <v>0</v>
      </c>
      <c r="I29" s="20"/>
      <c r="J29" s="21"/>
      <c r="K29" s="21"/>
      <c r="L29" s="40">
        <f t="shared" si="1"/>
        <v>0</v>
      </c>
      <c r="M29" s="26">
        <f t="shared" si="5"/>
        <v>0</v>
      </c>
      <c r="N29" s="25">
        <f t="shared" si="6"/>
        <v>0</v>
      </c>
    </row>
    <row r="30" spans="1:18" x14ac:dyDescent="0.3">
      <c r="A30" s="38">
        <f t="shared" si="2"/>
        <v>46323</v>
      </c>
      <c r="B30" s="18"/>
      <c r="C30" s="18"/>
      <c r="D30" s="18"/>
      <c r="E30" s="18"/>
      <c r="F30" s="49">
        <f t="shared" si="3"/>
        <v>0</v>
      </c>
      <c r="G30" s="15">
        <f t="shared" si="0"/>
        <v>0</v>
      </c>
      <c r="H30" s="15">
        <f t="shared" si="0"/>
        <v>0</v>
      </c>
      <c r="I30" s="20"/>
      <c r="J30" s="21"/>
      <c r="K30" s="21"/>
      <c r="L30" s="40">
        <f t="shared" si="1"/>
        <v>0</v>
      </c>
      <c r="M30" s="26">
        <f t="shared" si="5"/>
        <v>0</v>
      </c>
      <c r="N30" s="25">
        <f t="shared" si="6"/>
        <v>0</v>
      </c>
    </row>
    <row r="31" spans="1:18" x14ac:dyDescent="0.3">
      <c r="A31" s="38">
        <f t="shared" si="2"/>
        <v>46324</v>
      </c>
      <c r="B31" s="18"/>
      <c r="C31" s="18"/>
      <c r="D31" s="18"/>
      <c r="E31" s="18"/>
      <c r="F31" s="49">
        <f t="shared" si="3"/>
        <v>0</v>
      </c>
      <c r="G31" s="15">
        <f t="shared" si="0"/>
        <v>0</v>
      </c>
      <c r="H31" s="15">
        <f t="shared" si="0"/>
        <v>0</v>
      </c>
      <c r="I31" s="20"/>
      <c r="J31" s="21"/>
      <c r="K31" s="21"/>
      <c r="L31" s="40">
        <f t="shared" si="1"/>
        <v>0</v>
      </c>
      <c r="M31" s="26">
        <f t="shared" si="5"/>
        <v>0</v>
      </c>
      <c r="N31" s="25">
        <f t="shared" si="6"/>
        <v>0</v>
      </c>
    </row>
    <row r="32" spans="1:18" x14ac:dyDescent="0.3">
      <c r="A32" s="38">
        <f t="shared" si="2"/>
        <v>46325</v>
      </c>
      <c r="B32" s="18"/>
      <c r="C32" s="18"/>
      <c r="D32" s="18"/>
      <c r="E32" s="18"/>
      <c r="F32" s="49">
        <f t="shared" si="3"/>
        <v>0</v>
      </c>
      <c r="G32" s="15">
        <f t="shared" si="0"/>
        <v>0</v>
      </c>
      <c r="H32" s="15">
        <f t="shared" si="0"/>
        <v>0</v>
      </c>
      <c r="I32" s="20"/>
      <c r="J32" s="21"/>
      <c r="K32" s="21"/>
      <c r="L32" s="40">
        <f t="shared" si="1"/>
        <v>0</v>
      </c>
      <c r="M32" s="26">
        <f t="shared" si="5"/>
        <v>0</v>
      </c>
      <c r="N32" s="25">
        <f t="shared" si="6"/>
        <v>0</v>
      </c>
    </row>
    <row r="33" spans="1:15" x14ac:dyDescent="0.3">
      <c r="A33" s="38">
        <f t="shared" si="2"/>
        <v>46326</v>
      </c>
      <c r="B33" s="18"/>
      <c r="C33" s="18"/>
      <c r="D33" s="18"/>
      <c r="E33" s="18"/>
      <c r="F33" s="49">
        <f t="shared" si="3"/>
        <v>0</v>
      </c>
      <c r="G33" s="15">
        <f t="shared" ref="G33" si="7">SUM(D33-B33)</f>
        <v>0</v>
      </c>
      <c r="H33" s="15">
        <f t="shared" ref="H33" si="8">SUM(E33-C33)</f>
        <v>0</v>
      </c>
      <c r="I33" s="20"/>
      <c r="J33" s="21"/>
      <c r="K33" s="21"/>
      <c r="L33" s="40">
        <f t="shared" si="1"/>
        <v>0</v>
      </c>
      <c r="M33" s="26">
        <f t="shared" si="5"/>
        <v>0</v>
      </c>
      <c r="N33" s="25">
        <f t="shared" si="6"/>
        <v>0</v>
      </c>
    </row>
    <row r="34" spans="1:15" s="8" customFormat="1" ht="27.6" customHeight="1" x14ac:dyDescent="0.35">
      <c r="A34" s="24" t="s">
        <v>4</v>
      </c>
      <c r="B34" s="24">
        <f>SUM(B3:B33)</f>
        <v>5950</v>
      </c>
      <c r="C34" s="24">
        <f>SUM(C3:C33)</f>
        <v>27640</v>
      </c>
      <c r="D34" s="24">
        <f>SUM(D3:D33)</f>
        <v>0</v>
      </c>
      <c r="E34" s="24">
        <f>SUM(E3:E33)</f>
        <v>27660</v>
      </c>
      <c r="F34" s="49">
        <f>+E34-(E34*3.99/100)</f>
        <v>26556.366000000002</v>
      </c>
      <c r="G34" s="15">
        <f t="shared" ref="G34:N34" si="9">SUM(G3:G32)</f>
        <v>-5950</v>
      </c>
      <c r="H34" s="23">
        <f t="shared" si="9"/>
        <v>20</v>
      </c>
      <c r="I34" s="24">
        <f>SUM(I3:I33)</f>
        <v>4606.666666666667</v>
      </c>
      <c r="J34" s="24">
        <f>SUM(J3:J33)</f>
        <v>7195</v>
      </c>
      <c r="K34" s="24"/>
      <c r="L34" s="47">
        <f>SUM(L3:L32)</f>
        <v>33610</v>
      </c>
      <c r="M34" s="27">
        <f t="shared" si="9"/>
        <v>-2045</v>
      </c>
      <c r="N34" s="27">
        <f t="shared" si="9"/>
        <v>-3340</v>
      </c>
      <c r="O34" s="13"/>
    </row>
    <row r="35" spans="1:15" x14ac:dyDescent="0.3">
      <c r="E35" s="43"/>
      <c r="F35" s="50">
        <f>+E34-F34</f>
        <v>1103.6339999999982</v>
      </c>
      <c r="L35" s="37">
        <f>AVERAGE(L3:L32)</f>
        <v>1120.3333333333333</v>
      </c>
    </row>
    <row r="37" spans="1:15" ht="18" x14ac:dyDescent="0.3">
      <c r="H37" s="51" t="s">
        <v>14</v>
      </c>
      <c r="I37" s="51"/>
      <c r="J37" s="12">
        <f>SUM(L3:L32)</f>
        <v>33610</v>
      </c>
    </row>
    <row r="38" spans="1:15" ht="11.4" customHeight="1" x14ac:dyDescent="0.3">
      <c r="H38" s="51" t="s">
        <v>16</v>
      </c>
      <c r="I38" s="51"/>
      <c r="J38" s="12">
        <f>SUM(+J34+K34)</f>
        <v>7195</v>
      </c>
    </row>
    <row r="39" spans="1:15" ht="18" x14ac:dyDescent="0.3">
      <c r="H39" s="51" t="s">
        <v>15</v>
      </c>
      <c r="I39" s="51"/>
      <c r="J39" s="12">
        <f>SUM(M34+N34)</f>
        <v>-5385</v>
      </c>
    </row>
  </sheetData>
  <mergeCells count="3">
    <mergeCell ref="H37:I37"/>
    <mergeCell ref="H38:I38"/>
    <mergeCell ref="H39:I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EC91-91D5-44FB-95DF-8A5CEDE5E4CF}">
  <dimension ref="A1:R39"/>
  <sheetViews>
    <sheetView topLeftCell="A2" zoomScale="96" zoomScaleNormal="96" workbookViewId="0">
      <selection activeCell="L34" sqref="L34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5" customWidth="1"/>
    <col min="7" max="7" width="14.88671875" style="1" customWidth="1"/>
    <col min="8" max="8" width="15.6640625" bestFit="1" customWidth="1"/>
    <col min="9" max="11" width="14.88671875" customWidth="1"/>
    <col min="12" max="12" width="14.6640625" style="29" bestFit="1" customWidth="1"/>
    <col min="13" max="13" width="13.33203125" bestFit="1" customWidth="1"/>
    <col min="14" max="14" width="15.33203125" customWidth="1"/>
    <col min="15" max="15" width="14.6640625" bestFit="1" customWidth="1"/>
  </cols>
  <sheetData>
    <row r="1" spans="1:15" ht="16.2" hidden="1" thickBot="1" x14ac:dyDescent="0.35"/>
    <row r="2" spans="1:15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48" t="s">
        <v>33</v>
      </c>
      <c r="G2" s="5" t="s">
        <v>7</v>
      </c>
      <c r="H2" s="5" t="s">
        <v>8</v>
      </c>
      <c r="I2" s="9" t="s">
        <v>9</v>
      </c>
      <c r="J2" s="10" t="s">
        <v>10</v>
      </c>
      <c r="K2" s="10" t="s">
        <v>11</v>
      </c>
      <c r="L2" s="39" t="s">
        <v>3</v>
      </c>
      <c r="M2" s="11" t="s">
        <v>12</v>
      </c>
      <c r="N2" s="11" t="s">
        <v>13</v>
      </c>
    </row>
    <row r="3" spans="1:15" x14ac:dyDescent="0.3">
      <c r="A3" s="38">
        <v>46266</v>
      </c>
      <c r="B3" s="14">
        <v>0</v>
      </c>
      <c r="C3" s="14">
        <v>2790</v>
      </c>
      <c r="D3" s="14">
        <v>0</v>
      </c>
      <c r="E3" s="14">
        <v>2790</v>
      </c>
      <c r="F3" s="49">
        <f>+E3-(E3*3.99/100)</f>
        <v>2678.6790000000001</v>
      </c>
      <c r="G3" s="15">
        <f t="shared" ref="G3:H32" si="0">SUM(D3-B3)</f>
        <v>0</v>
      </c>
      <c r="H3" s="15">
        <f t="shared" si="0"/>
        <v>0</v>
      </c>
      <c r="I3" s="16">
        <f>+C3*2/12</f>
        <v>465</v>
      </c>
      <c r="J3" s="17">
        <v>0</v>
      </c>
      <c r="K3" s="17">
        <v>0</v>
      </c>
      <c r="L3" s="40">
        <f t="shared" ref="L3:L33" si="1">+E3+B3</f>
        <v>2790</v>
      </c>
      <c r="M3" s="25">
        <f>SUM(B3-J3)</f>
        <v>0</v>
      </c>
      <c r="N3" s="25">
        <f>SUM(E3-K3)</f>
        <v>2790</v>
      </c>
    </row>
    <row r="4" spans="1:15" x14ac:dyDescent="0.3">
      <c r="A4" s="38">
        <f t="shared" ref="A4:A32" si="2">+A3+1</f>
        <v>46267</v>
      </c>
      <c r="B4" s="14">
        <v>1000</v>
      </c>
      <c r="C4" s="14">
        <v>2400</v>
      </c>
      <c r="D4" s="18">
        <v>0</v>
      </c>
      <c r="E4" s="18">
        <v>2400</v>
      </c>
      <c r="F4" s="49">
        <f t="shared" ref="F4:F34" si="3">+E4-(E4*3.99/100)</f>
        <v>2304.2399999999998</v>
      </c>
      <c r="G4" s="15">
        <f t="shared" si="0"/>
        <v>-1000</v>
      </c>
      <c r="H4" s="15">
        <f t="shared" si="0"/>
        <v>0</v>
      </c>
      <c r="I4" s="16">
        <f t="shared" ref="I4:I32" si="4">+C4*2/12</f>
        <v>400</v>
      </c>
      <c r="J4" s="21">
        <v>0</v>
      </c>
      <c r="K4" s="21">
        <v>0</v>
      </c>
      <c r="L4" s="40">
        <f t="shared" si="1"/>
        <v>3400</v>
      </c>
      <c r="M4" s="26">
        <f t="shared" ref="M4:M33" si="5">SUM(B4-J4)</f>
        <v>1000</v>
      </c>
      <c r="N4" s="25">
        <f t="shared" ref="N4:N33" si="6">SUM(E4-K4)</f>
        <v>2400</v>
      </c>
    </row>
    <row r="5" spans="1:15" x14ac:dyDescent="0.3">
      <c r="A5" s="38">
        <f t="shared" si="2"/>
        <v>46268</v>
      </c>
      <c r="B5" s="18">
        <v>3650</v>
      </c>
      <c r="C5" s="18">
        <v>2680</v>
      </c>
      <c r="D5" s="18">
        <v>0</v>
      </c>
      <c r="E5" s="18">
        <v>2680</v>
      </c>
      <c r="F5" s="49">
        <f t="shared" si="3"/>
        <v>2573.0680000000002</v>
      </c>
      <c r="G5" s="15">
        <f t="shared" si="0"/>
        <v>-3650</v>
      </c>
      <c r="H5" s="15">
        <f t="shared" si="0"/>
        <v>0</v>
      </c>
      <c r="I5" s="16">
        <f t="shared" si="4"/>
        <v>446.66666666666669</v>
      </c>
      <c r="J5" s="21">
        <v>190</v>
      </c>
      <c r="K5" s="21">
        <v>260</v>
      </c>
      <c r="L5" s="40">
        <f t="shared" si="1"/>
        <v>6330</v>
      </c>
      <c r="M5" s="26">
        <f t="shared" si="5"/>
        <v>3460</v>
      </c>
      <c r="N5" s="25">
        <f t="shared" si="6"/>
        <v>2420</v>
      </c>
    </row>
    <row r="6" spans="1:15" x14ac:dyDescent="0.3">
      <c r="A6" s="38">
        <f t="shared" si="2"/>
        <v>46269</v>
      </c>
      <c r="B6" s="18">
        <v>1300</v>
      </c>
      <c r="C6" s="18">
        <v>1050</v>
      </c>
      <c r="D6" s="18">
        <v>0</v>
      </c>
      <c r="E6" s="18">
        <v>1050</v>
      </c>
      <c r="F6" s="49">
        <f t="shared" si="3"/>
        <v>1008.105</v>
      </c>
      <c r="G6" s="15">
        <f t="shared" si="0"/>
        <v>-1300</v>
      </c>
      <c r="H6" s="15">
        <f t="shared" si="0"/>
        <v>0</v>
      </c>
      <c r="I6" s="16">
        <f t="shared" si="4"/>
        <v>175</v>
      </c>
      <c r="J6" s="21">
        <v>0</v>
      </c>
      <c r="K6" s="21">
        <v>0</v>
      </c>
      <c r="L6" s="40">
        <f t="shared" si="1"/>
        <v>2350</v>
      </c>
      <c r="M6" s="26">
        <f t="shared" si="5"/>
        <v>1300</v>
      </c>
      <c r="N6" s="25">
        <f t="shared" si="6"/>
        <v>1050</v>
      </c>
    </row>
    <row r="7" spans="1:15" x14ac:dyDescent="0.3">
      <c r="A7" s="38">
        <f t="shared" si="2"/>
        <v>46270</v>
      </c>
      <c r="B7" s="18">
        <v>850</v>
      </c>
      <c r="C7" s="18">
        <v>3640</v>
      </c>
      <c r="D7" s="18">
        <v>0</v>
      </c>
      <c r="E7" s="18">
        <v>3640</v>
      </c>
      <c r="F7" s="49">
        <f t="shared" si="3"/>
        <v>3494.7640000000001</v>
      </c>
      <c r="G7" s="15">
        <f t="shared" si="0"/>
        <v>-850</v>
      </c>
      <c r="H7" s="15">
        <f t="shared" si="0"/>
        <v>0</v>
      </c>
      <c r="I7" s="16">
        <f t="shared" si="4"/>
        <v>606.66666666666663</v>
      </c>
      <c r="J7" s="21">
        <v>0</v>
      </c>
      <c r="K7" s="21">
        <v>1710</v>
      </c>
      <c r="L7" s="40">
        <f t="shared" si="1"/>
        <v>4490</v>
      </c>
      <c r="M7" s="26">
        <f t="shared" si="5"/>
        <v>850</v>
      </c>
      <c r="N7" s="25">
        <f t="shared" si="6"/>
        <v>1930</v>
      </c>
    </row>
    <row r="8" spans="1:15" x14ac:dyDescent="0.3">
      <c r="A8" s="38">
        <f t="shared" si="2"/>
        <v>46271</v>
      </c>
      <c r="B8" s="18">
        <v>1450</v>
      </c>
      <c r="C8" s="18">
        <v>4300</v>
      </c>
      <c r="D8" s="18">
        <v>0</v>
      </c>
      <c r="E8" s="18">
        <v>4300</v>
      </c>
      <c r="F8" s="49">
        <f t="shared" si="3"/>
        <v>4128.43</v>
      </c>
      <c r="G8" s="15">
        <f t="shared" si="0"/>
        <v>-1450</v>
      </c>
      <c r="H8" s="15">
        <f t="shared" si="0"/>
        <v>0</v>
      </c>
      <c r="I8" s="16">
        <f t="shared" si="4"/>
        <v>716.66666666666663</v>
      </c>
      <c r="J8" s="21">
        <v>230</v>
      </c>
      <c r="K8" s="21">
        <v>140</v>
      </c>
      <c r="L8" s="40">
        <f t="shared" si="1"/>
        <v>5750</v>
      </c>
      <c r="M8" s="26">
        <v>0</v>
      </c>
      <c r="N8" s="25">
        <f t="shared" si="6"/>
        <v>4160</v>
      </c>
    </row>
    <row r="9" spans="1:15" x14ac:dyDescent="0.3">
      <c r="A9" s="38">
        <f t="shared" si="2"/>
        <v>46272</v>
      </c>
      <c r="B9" s="18">
        <v>500</v>
      </c>
      <c r="C9" s="18">
        <v>1300</v>
      </c>
      <c r="D9" s="18">
        <v>0</v>
      </c>
      <c r="E9" s="18">
        <v>1300</v>
      </c>
      <c r="F9" s="49">
        <f t="shared" si="3"/>
        <v>1248.1300000000001</v>
      </c>
      <c r="G9" s="15">
        <f t="shared" si="0"/>
        <v>-500</v>
      </c>
      <c r="H9" s="15">
        <f t="shared" si="0"/>
        <v>0</v>
      </c>
      <c r="I9" s="16">
        <f t="shared" si="4"/>
        <v>216.66666666666666</v>
      </c>
      <c r="J9" s="21">
        <v>11270</v>
      </c>
      <c r="K9" s="21">
        <v>34690</v>
      </c>
      <c r="L9" s="40">
        <f t="shared" si="1"/>
        <v>1800</v>
      </c>
      <c r="M9" s="26">
        <f t="shared" si="5"/>
        <v>-10770</v>
      </c>
      <c r="N9" s="25">
        <f t="shared" si="6"/>
        <v>-33390</v>
      </c>
    </row>
    <row r="10" spans="1:15" x14ac:dyDescent="0.3">
      <c r="A10" s="38">
        <f t="shared" si="2"/>
        <v>46273</v>
      </c>
      <c r="B10" s="18">
        <v>0</v>
      </c>
      <c r="C10" s="18">
        <v>4540</v>
      </c>
      <c r="D10" s="18">
        <v>0</v>
      </c>
      <c r="E10" s="18">
        <v>4540</v>
      </c>
      <c r="F10" s="49">
        <f t="shared" si="3"/>
        <v>4358.8540000000003</v>
      </c>
      <c r="G10" s="15">
        <f t="shared" si="0"/>
        <v>0</v>
      </c>
      <c r="H10" s="15">
        <f t="shared" si="0"/>
        <v>0</v>
      </c>
      <c r="I10" s="16">
        <f t="shared" si="4"/>
        <v>756.66666666666663</v>
      </c>
      <c r="J10" s="21">
        <v>0</v>
      </c>
      <c r="K10" s="21">
        <v>0</v>
      </c>
      <c r="L10" s="40">
        <f t="shared" si="1"/>
        <v>4540</v>
      </c>
      <c r="M10" s="26">
        <f t="shared" si="5"/>
        <v>0</v>
      </c>
      <c r="N10" s="25">
        <f t="shared" si="6"/>
        <v>4540</v>
      </c>
    </row>
    <row r="11" spans="1:15" x14ac:dyDescent="0.3">
      <c r="A11" s="38">
        <f t="shared" si="2"/>
        <v>46274</v>
      </c>
      <c r="B11" s="18">
        <v>1200</v>
      </c>
      <c r="C11" s="18">
        <v>3880</v>
      </c>
      <c r="D11" s="18">
        <v>0</v>
      </c>
      <c r="E11" s="18">
        <v>3880</v>
      </c>
      <c r="F11" s="49">
        <f t="shared" si="3"/>
        <v>3725.1880000000001</v>
      </c>
      <c r="G11" s="15">
        <f t="shared" si="0"/>
        <v>-1200</v>
      </c>
      <c r="H11" s="15">
        <f t="shared" si="0"/>
        <v>0</v>
      </c>
      <c r="I11" s="16">
        <f t="shared" si="4"/>
        <v>646.66666666666663</v>
      </c>
      <c r="J11" s="21">
        <v>0</v>
      </c>
      <c r="K11" s="21">
        <v>360</v>
      </c>
      <c r="L11" s="40">
        <f t="shared" si="1"/>
        <v>5080</v>
      </c>
      <c r="M11" s="26">
        <f t="shared" si="5"/>
        <v>1200</v>
      </c>
      <c r="N11" s="25">
        <f t="shared" si="6"/>
        <v>3520</v>
      </c>
    </row>
    <row r="12" spans="1:15" x14ac:dyDescent="0.3">
      <c r="A12" s="38">
        <f t="shared" si="2"/>
        <v>46275</v>
      </c>
      <c r="B12" s="18">
        <v>1800</v>
      </c>
      <c r="C12" s="18">
        <v>3060</v>
      </c>
      <c r="D12" s="18">
        <v>0</v>
      </c>
      <c r="E12" s="18">
        <v>3060</v>
      </c>
      <c r="F12" s="49">
        <f t="shared" si="3"/>
        <v>2937.9059999999999</v>
      </c>
      <c r="G12" s="15">
        <f t="shared" si="0"/>
        <v>-1800</v>
      </c>
      <c r="H12" s="15">
        <f t="shared" si="0"/>
        <v>0</v>
      </c>
      <c r="I12" s="16">
        <f t="shared" si="4"/>
        <v>510</v>
      </c>
      <c r="J12" s="21">
        <v>0</v>
      </c>
      <c r="K12" s="21">
        <v>3000</v>
      </c>
      <c r="L12" s="40">
        <f t="shared" si="1"/>
        <v>4860</v>
      </c>
      <c r="M12" s="26">
        <f t="shared" si="5"/>
        <v>1800</v>
      </c>
      <c r="N12" s="25">
        <f t="shared" si="6"/>
        <v>60</v>
      </c>
      <c r="O12" t="s">
        <v>17</v>
      </c>
    </row>
    <row r="13" spans="1:15" x14ac:dyDescent="0.3">
      <c r="A13" s="38">
        <f t="shared" si="2"/>
        <v>46276</v>
      </c>
      <c r="B13" s="18">
        <v>600</v>
      </c>
      <c r="C13" s="18">
        <v>4425</v>
      </c>
      <c r="D13" s="18">
        <v>0</v>
      </c>
      <c r="E13" s="18">
        <v>4425</v>
      </c>
      <c r="F13" s="49">
        <f t="shared" si="3"/>
        <v>4248.4425000000001</v>
      </c>
      <c r="G13" s="15">
        <f t="shared" si="0"/>
        <v>-600</v>
      </c>
      <c r="H13" s="15">
        <f t="shared" si="0"/>
        <v>0</v>
      </c>
      <c r="I13" s="16">
        <f t="shared" si="4"/>
        <v>737.5</v>
      </c>
      <c r="J13" s="21">
        <v>150</v>
      </c>
      <c r="K13" s="21">
        <v>1980</v>
      </c>
      <c r="L13" s="40">
        <f t="shared" si="1"/>
        <v>5025</v>
      </c>
      <c r="M13" s="26">
        <f t="shared" si="5"/>
        <v>450</v>
      </c>
      <c r="N13" s="25">
        <f t="shared" si="6"/>
        <v>2445</v>
      </c>
    </row>
    <row r="14" spans="1:15" x14ac:dyDescent="0.3">
      <c r="A14" s="38">
        <f t="shared" si="2"/>
        <v>46277</v>
      </c>
      <c r="B14" s="18">
        <v>1240</v>
      </c>
      <c r="C14" s="18">
        <v>3440</v>
      </c>
      <c r="D14" s="18">
        <v>0</v>
      </c>
      <c r="E14" s="18">
        <v>3440</v>
      </c>
      <c r="F14" s="49">
        <f t="shared" si="3"/>
        <v>3302.7440000000001</v>
      </c>
      <c r="G14" s="15">
        <f t="shared" si="0"/>
        <v>-1240</v>
      </c>
      <c r="H14" s="15">
        <f t="shared" si="0"/>
        <v>0</v>
      </c>
      <c r="I14" s="16">
        <f t="shared" si="4"/>
        <v>573.33333333333337</v>
      </c>
      <c r="J14" s="21">
        <v>600</v>
      </c>
      <c r="K14" s="21">
        <v>0</v>
      </c>
      <c r="L14" s="40">
        <f t="shared" si="1"/>
        <v>4680</v>
      </c>
      <c r="M14" s="26">
        <f t="shared" si="5"/>
        <v>640</v>
      </c>
      <c r="N14" s="25">
        <f t="shared" si="6"/>
        <v>3440</v>
      </c>
    </row>
    <row r="15" spans="1:15" x14ac:dyDescent="0.3">
      <c r="A15" s="38">
        <f t="shared" si="2"/>
        <v>46278</v>
      </c>
      <c r="B15" s="18">
        <v>300</v>
      </c>
      <c r="C15" s="18">
        <v>1100</v>
      </c>
      <c r="D15" s="18">
        <v>0</v>
      </c>
      <c r="E15" s="18">
        <v>1100</v>
      </c>
      <c r="F15" s="49">
        <f t="shared" si="3"/>
        <v>1056.1099999999999</v>
      </c>
      <c r="G15" s="15">
        <f t="shared" si="0"/>
        <v>-300</v>
      </c>
      <c r="H15" s="15">
        <f t="shared" si="0"/>
        <v>0</v>
      </c>
      <c r="I15" s="16">
        <f t="shared" si="4"/>
        <v>183.33333333333334</v>
      </c>
      <c r="J15" s="21">
        <v>200</v>
      </c>
      <c r="K15" s="21">
        <v>0</v>
      </c>
      <c r="L15" s="40">
        <f t="shared" si="1"/>
        <v>1400</v>
      </c>
      <c r="M15" s="26">
        <f t="shared" si="5"/>
        <v>100</v>
      </c>
      <c r="N15" s="25">
        <f t="shared" si="6"/>
        <v>1100</v>
      </c>
    </row>
    <row r="16" spans="1:15" x14ac:dyDescent="0.3">
      <c r="A16" s="38">
        <f t="shared" si="2"/>
        <v>46279</v>
      </c>
      <c r="B16" s="18">
        <v>0</v>
      </c>
      <c r="C16" s="18">
        <v>1925</v>
      </c>
      <c r="D16" s="18">
        <v>0</v>
      </c>
      <c r="E16" s="18">
        <v>1925</v>
      </c>
      <c r="F16" s="49">
        <f t="shared" si="3"/>
        <v>1848.1925000000001</v>
      </c>
      <c r="G16" s="15">
        <f t="shared" si="0"/>
        <v>0</v>
      </c>
      <c r="H16" s="15">
        <f t="shared" si="0"/>
        <v>0</v>
      </c>
      <c r="I16" s="16">
        <f t="shared" si="4"/>
        <v>320.83333333333331</v>
      </c>
      <c r="J16" s="21">
        <v>0</v>
      </c>
      <c r="K16" s="21">
        <v>0</v>
      </c>
      <c r="L16" s="40">
        <f t="shared" si="1"/>
        <v>1925</v>
      </c>
      <c r="M16" s="26">
        <f t="shared" si="5"/>
        <v>0</v>
      </c>
      <c r="N16" s="25">
        <f t="shared" si="6"/>
        <v>1925</v>
      </c>
    </row>
    <row r="17" spans="1:18" x14ac:dyDescent="0.3">
      <c r="A17" s="38">
        <f t="shared" si="2"/>
        <v>46280</v>
      </c>
      <c r="B17" s="18">
        <v>400</v>
      </c>
      <c r="C17" s="18">
        <v>3040</v>
      </c>
      <c r="D17" s="18">
        <v>0</v>
      </c>
      <c r="E17" s="18">
        <v>3040</v>
      </c>
      <c r="F17" s="49">
        <f t="shared" si="3"/>
        <v>2918.7040000000002</v>
      </c>
      <c r="G17" s="15">
        <f t="shared" si="0"/>
        <v>-400</v>
      </c>
      <c r="H17" s="15">
        <f t="shared" si="0"/>
        <v>0</v>
      </c>
      <c r="I17" s="16">
        <f t="shared" si="4"/>
        <v>506.66666666666669</v>
      </c>
      <c r="J17" s="21">
        <v>3400</v>
      </c>
      <c r="K17" s="21">
        <v>27100</v>
      </c>
      <c r="L17" s="40">
        <f t="shared" si="1"/>
        <v>3440</v>
      </c>
      <c r="M17" s="26">
        <f t="shared" si="5"/>
        <v>-3000</v>
      </c>
      <c r="N17" s="25">
        <f t="shared" si="6"/>
        <v>-24060</v>
      </c>
    </row>
    <row r="18" spans="1:18" x14ac:dyDescent="0.3">
      <c r="A18" s="38">
        <f t="shared" si="2"/>
        <v>46281</v>
      </c>
      <c r="B18" s="18">
        <v>1500</v>
      </c>
      <c r="C18" s="18">
        <v>650</v>
      </c>
      <c r="D18" s="18">
        <v>0</v>
      </c>
      <c r="E18" s="18">
        <v>650</v>
      </c>
      <c r="F18" s="49">
        <f t="shared" si="3"/>
        <v>624.06500000000005</v>
      </c>
      <c r="G18" s="15">
        <f t="shared" si="0"/>
        <v>-1500</v>
      </c>
      <c r="H18" s="15">
        <f t="shared" si="0"/>
        <v>0</v>
      </c>
      <c r="I18" s="16">
        <f t="shared" si="4"/>
        <v>108.33333333333333</v>
      </c>
      <c r="J18" s="21">
        <v>450</v>
      </c>
      <c r="K18" s="21">
        <v>0</v>
      </c>
      <c r="L18" s="40">
        <f t="shared" si="1"/>
        <v>2150</v>
      </c>
      <c r="M18" s="26">
        <f t="shared" si="5"/>
        <v>1050</v>
      </c>
      <c r="N18" s="25">
        <f t="shared" si="6"/>
        <v>650</v>
      </c>
    </row>
    <row r="19" spans="1:18" x14ac:dyDescent="0.3">
      <c r="A19" s="38">
        <f t="shared" si="2"/>
        <v>46282</v>
      </c>
      <c r="B19" s="18">
        <v>2600</v>
      </c>
      <c r="C19" s="18">
        <v>4080</v>
      </c>
      <c r="D19" s="18">
        <v>0</v>
      </c>
      <c r="E19" s="18">
        <v>4080</v>
      </c>
      <c r="F19" s="49">
        <f t="shared" si="3"/>
        <v>3917.2080000000001</v>
      </c>
      <c r="G19" s="15">
        <f t="shared" si="0"/>
        <v>-2600</v>
      </c>
      <c r="H19" s="15">
        <f t="shared" si="0"/>
        <v>0</v>
      </c>
      <c r="I19" s="16">
        <f t="shared" si="4"/>
        <v>680</v>
      </c>
      <c r="J19" s="21">
        <v>0</v>
      </c>
      <c r="K19" s="21">
        <v>0</v>
      </c>
      <c r="L19" s="40">
        <f t="shared" si="1"/>
        <v>6680</v>
      </c>
      <c r="M19" s="26">
        <f t="shared" si="5"/>
        <v>2600</v>
      </c>
      <c r="N19" s="25">
        <f t="shared" si="6"/>
        <v>4080</v>
      </c>
    </row>
    <row r="20" spans="1:18" x14ac:dyDescent="0.3">
      <c r="A20" s="38">
        <f t="shared" si="2"/>
        <v>46283</v>
      </c>
      <c r="B20" s="18">
        <v>0</v>
      </c>
      <c r="C20" s="18">
        <v>4020</v>
      </c>
      <c r="D20" s="18">
        <v>0</v>
      </c>
      <c r="E20" s="18">
        <v>4020</v>
      </c>
      <c r="F20" s="49">
        <f t="shared" si="3"/>
        <v>3859.6019999999999</v>
      </c>
      <c r="G20" s="15">
        <f t="shared" si="0"/>
        <v>0</v>
      </c>
      <c r="H20" s="15">
        <f t="shared" si="0"/>
        <v>0</v>
      </c>
      <c r="I20" s="16">
        <f t="shared" si="4"/>
        <v>670</v>
      </c>
      <c r="J20" s="21">
        <v>100</v>
      </c>
      <c r="K20" s="21">
        <v>0</v>
      </c>
      <c r="L20" s="40">
        <f t="shared" si="1"/>
        <v>4020</v>
      </c>
      <c r="M20" s="26">
        <f t="shared" si="5"/>
        <v>-100</v>
      </c>
      <c r="N20" s="25">
        <f t="shared" si="6"/>
        <v>4020</v>
      </c>
    </row>
    <row r="21" spans="1:18" x14ac:dyDescent="0.3">
      <c r="A21" s="38">
        <f t="shared" si="2"/>
        <v>46284</v>
      </c>
      <c r="B21" s="18">
        <v>1200</v>
      </c>
      <c r="C21" s="18">
        <v>4270</v>
      </c>
      <c r="D21" s="18">
        <v>0</v>
      </c>
      <c r="E21" s="18">
        <v>4270</v>
      </c>
      <c r="F21" s="49">
        <f t="shared" si="3"/>
        <v>4099.6270000000004</v>
      </c>
      <c r="G21" s="15">
        <f t="shared" si="0"/>
        <v>-1200</v>
      </c>
      <c r="H21" s="15">
        <f t="shared" si="0"/>
        <v>0</v>
      </c>
      <c r="I21" s="16">
        <f t="shared" si="4"/>
        <v>711.66666666666663</v>
      </c>
      <c r="J21" s="21">
        <v>0</v>
      </c>
      <c r="K21" s="21">
        <v>0</v>
      </c>
      <c r="L21" s="40">
        <f t="shared" si="1"/>
        <v>5470</v>
      </c>
      <c r="M21" s="26">
        <f t="shared" si="5"/>
        <v>1200</v>
      </c>
      <c r="N21" s="25">
        <f t="shared" si="6"/>
        <v>4270</v>
      </c>
      <c r="R21">
        <v>5</v>
      </c>
    </row>
    <row r="22" spans="1:18" x14ac:dyDescent="0.3">
      <c r="A22" s="38">
        <f t="shared" si="2"/>
        <v>46285</v>
      </c>
      <c r="B22" s="18">
        <v>550</v>
      </c>
      <c r="C22" s="18">
        <v>2170</v>
      </c>
      <c r="D22" s="18">
        <v>0</v>
      </c>
      <c r="E22" s="18">
        <v>2170</v>
      </c>
      <c r="F22" s="49">
        <f t="shared" si="3"/>
        <v>2083.4169999999999</v>
      </c>
      <c r="G22" s="15">
        <f t="shared" si="0"/>
        <v>-550</v>
      </c>
      <c r="H22" s="15">
        <f t="shared" si="0"/>
        <v>0</v>
      </c>
      <c r="I22" s="16">
        <f t="shared" si="4"/>
        <v>361.66666666666669</v>
      </c>
      <c r="J22" s="21">
        <v>0</v>
      </c>
      <c r="K22" s="21">
        <v>0</v>
      </c>
      <c r="L22" s="40">
        <f t="shared" si="1"/>
        <v>2720</v>
      </c>
      <c r="M22" s="26">
        <f t="shared" si="5"/>
        <v>550</v>
      </c>
      <c r="N22" s="25">
        <f t="shared" si="6"/>
        <v>2170</v>
      </c>
    </row>
    <row r="23" spans="1:18" x14ac:dyDescent="0.3">
      <c r="A23" s="38">
        <f t="shared" si="2"/>
        <v>46286</v>
      </c>
      <c r="B23" s="18">
        <v>300</v>
      </c>
      <c r="C23" s="18">
        <v>6000</v>
      </c>
      <c r="D23" s="18">
        <v>0</v>
      </c>
      <c r="E23" s="18">
        <v>6000</v>
      </c>
      <c r="F23" s="49">
        <f t="shared" si="3"/>
        <v>5760.6</v>
      </c>
      <c r="G23" s="15">
        <f t="shared" si="0"/>
        <v>-300</v>
      </c>
      <c r="H23" s="15">
        <f t="shared" si="0"/>
        <v>0</v>
      </c>
      <c r="I23" s="16">
        <f t="shared" si="4"/>
        <v>1000</v>
      </c>
      <c r="J23" s="21">
        <v>1700</v>
      </c>
      <c r="K23" s="21">
        <v>100</v>
      </c>
      <c r="L23" s="40">
        <f t="shared" si="1"/>
        <v>6300</v>
      </c>
      <c r="M23" s="26">
        <f t="shared" si="5"/>
        <v>-1400</v>
      </c>
      <c r="N23" s="25">
        <f t="shared" si="6"/>
        <v>5900</v>
      </c>
    </row>
    <row r="24" spans="1:18" x14ac:dyDescent="0.3">
      <c r="A24" s="38">
        <f t="shared" si="2"/>
        <v>46287</v>
      </c>
      <c r="B24" s="18">
        <v>350</v>
      </c>
      <c r="C24" s="18">
        <v>7040</v>
      </c>
      <c r="D24" s="18">
        <v>0</v>
      </c>
      <c r="E24" s="18">
        <v>7040</v>
      </c>
      <c r="F24" s="49">
        <f t="shared" si="3"/>
        <v>6759.1040000000003</v>
      </c>
      <c r="G24" s="15">
        <f t="shared" si="0"/>
        <v>-350</v>
      </c>
      <c r="H24" s="15">
        <f t="shared" si="0"/>
        <v>0</v>
      </c>
      <c r="I24" s="16">
        <f t="shared" si="4"/>
        <v>1173.3333333333333</v>
      </c>
      <c r="J24" s="21">
        <v>0</v>
      </c>
      <c r="K24" s="21">
        <v>0</v>
      </c>
      <c r="L24" s="40">
        <f t="shared" si="1"/>
        <v>7390</v>
      </c>
      <c r="M24" s="26">
        <f t="shared" si="5"/>
        <v>350</v>
      </c>
      <c r="N24" s="25">
        <f t="shared" si="6"/>
        <v>7040</v>
      </c>
    </row>
    <row r="25" spans="1:18" x14ac:dyDescent="0.3">
      <c r="A25" s="38">
        <f t="shared" si="2"/>
        <v>46288</v>
      </c>
      <c r="B25" s="18">
        <v>1200</v>
      </c>
      <c r="C25" s="18">
        <v>3200</v>
      </c>
      <c r="D25" s="18">
        <v>0</v>
      </c>
      <c r="E25" s="18">
        <v>3200</v>
      </c>
      <c r="F25" s="49">
        <f t="shared" si="3"/>
        <v>3072.32</v>
      </c>
      <c r="G25" s="15">
        <f t="shared" si="0"/>
        <v>-1200</v>
      </c>
      <c r="H25" s="15">
        <f t="shared" si="0"/>
        <v>0</v>
      </c>
      <c r="I25" s="16">
        <f t="shared" si="4"/>
        <v>533.33333333333337</v>
      </c>
      <c r="J25" s="21">
        <v>350</v>
      </c>
      <c r="K25" s="21">
        <v>16000</v>
      </c>
      <c r="L25" s="40">
        <f t="shared" si="1"/>
        <v>4400</v>
      </c>
      <c r="M25" s="26">
        <f t="shared" si="5"/>
        <v>850</v>
      </c>
      <c r="N25" s="25">
        <f t="shared" si="6"/>
        <v>-12800</v>
      </c>
      <c r="O25" t="s">
        <v>18</v>
      </c>
    </row>
    <row r="26" spans="1:18" x14ac:dyDescent="0.3">
      <c r="A26" s="38">
        <f t="shared" si="2"/>
        <v>46289</v>
      </c>
      <c r="B26" s="18">
        <v>200</v>
      </c>
      <c r="C26" s="18">
        <v>70</v>
      </c>
      <c r="D26" s="18">
        <v>0</v>
      </c>
      <c r="E26" s="18">
        <v>70</v>
      </c>
      <c r="F26" s="49">
        <f t="shared" si="3"/>
        <v>67.206999999999994</v>
      </c>
      <c r="G26" s="15">
        <f t="shared" si="0"/>
        <v>-200</v>
      </c>
      <c r="H26" s="15">
        <f t="shared" si="0"/>
        <v>0</v>
      </c>
      <c r="I26" s="16">
        <f t="shared" si="4"/>
        <v>11.666666666666666</v>
      </c>
      <c r="J26" s="21">
        <v>4100</v>
      </c>
      <c r="K26" s="21">
        <v>29000</v>
      </c>
      <c r="L26" s="40">
        <f t="shared" si="1"/>
        <v>270</v>
      </c>
      <c r="M26" s="26">
        <f t="shared" si="5"/>
        <v>-3900</v>
      </c>
      <c r="N26" s="25">
        <f t="shared" si="6"/>
        <v>-28930</v>
      </c>
    </row>
    <row r="27" spans="1:18" x14ac:dyDescent="0.3">
      <c r="A27" s="38">
        <f t="shared" si="2"/>
        <v>46290</v>
      </c>
      <c r="B27" s="18">
        <v>1000</v>
      </c>
      <c r="C27" s="18">
        <v>1830</v>
      </c>
      <c r="D27" s="18">
        <v>0</v>
      </c>
      <c r="E27" s="18">
        <v>1830</v>
      </c>
      <c r="F27" s="49">
        <f t="shared" si="3"/>
        <v>1756.9829999999999</v>
      </c>
      <c r="G27" s="15">
        <f t="shared" si="0"/>
        <v>-1000</v>
      </c>
      <c r="H27" s="15">
        <f t="shared" si="0"/>
        <v>0</v>
      </c>
      <c r="I27" s="16">
        <f t="shared" si="4"/>
        <v>305</v>
      </c>
      <c r="J27" s="21">
        <v>0</v>
      </c>
      <c r="K27" s="21">
        <v>0</v>
      </c>
      <c r="L27" s="40">
        <f t="shared" si="1"/>
        <v>2830</v>
      </c>
      <c r="M27" s="26">
        <f t="shared" si="5"/>
        <v>1000</v>
      </c>
      <c r="N27" s="25">
        <f t="shared" si="6"/>
        <v>1830</v>
      </c>
    </row>
    <row r="28" spans="1:18" x14ac:dyDescent="0.3">
      <c r="A28" s="38">
        <f t="shared" si="2"/>
        <v>46291</v>
      </c>
      <c r="B28" s="18">
        <v>2600</v>
      </c>
      <c r="C28" s="18">
        <v>3930</v>
      </c>
      <c r="D28" s="18">
        <v>0</v>
      </c>
      <c r="E28" s="18">
        <v>3930</v>
      </c>
      <c r="F28" s="49">
        <f t="shared" si="3"/>
        <v>3773.1930000000002</v>
      </c>
      <c r="G28" s="15">
        <f t="shared" si="0"/>
        <v>-2600</v>
      </c>
      <c r="H28" s="15">
        <f t="shared" si="0"/>
        <v>0</v>
      </c>
      <c r="I28" s="16">
        <f t="shared" si="4"/>
        <v>655</v>
      </c>
      <c r="J28" s="21">
        <v>0</v>
      </c>
      <c r="K28" s="21">
        <v>0</v>
      </c>
      <c r="L28" s="40">
        <f t="shared" si="1"/>
        <v>6530</v>
      </c>
      <c r="M28" s="26">
        <f t="shared" si="5"/>
        <v>2600</v>
      </c>
      <c r="N28" s="25">
        <f t="shared" si="6"/>
        <v>3930</v>
      </c>
    </row>
    <row r="29" spans="1:18" x14ac:dyDescent="0.3">
      <c r="A29" s="38">
        <f t="shared" si="2"/>
        <v>46292</v>
      </c>
      <c r="B29" s="18">
        <v>0</v>
      </c>
      <c r="C29" s="18">
        <v>0</v>
      </c>
      <c r="D29" s="18">
        <v>0</v>
      </c>
      <c r="E29" s="18">
        <v>0</v>
      </c>
      <c r="F29" s="49">
        <f t="shared" si="3"/>
        <v>0</v>
      </c>
      <c r="G29" s="15">
        <f t="shared" si="0"/>
        <v>0</v>
      </c>
      <c r="H29" s="15">
        <f t="shared" si="0"/>
        <v>0</v>
      </c>
      <c r="I29" s="16">
        <f t="shared" si="4"/>
        <v>0</v>
      </c>
      <c r="J29" s="21">
        <v>100</v>
      </c>
      <c r="K29" s="21">
        <v>0</v>
      </c>
      <c r="L29" s="40">
        <f t="shared" si="1"/>
        <v>0</v>
      </c>
      <c r="M29" s="26">
        <f t="shared" si="5"/>
        <v>-100</v>
      </c>
      <c r="N29" s="25">
        <f t="shared" si="6"/>
        <v>0</v>
      </c>
    </row>
    <row r="30" spans="1:18" x14ac:dyDescent="0.3">
      <c r="A30" s="38">
        <f t="shared" si="2"/>
        <v>46293</v>
      </c>
      <c r="B30" s="18">
        <v>1550</v>
      </c>
      <c r="C30" s="18">
        <v>4950</v>
      </c>
      <c r="D30" s="18">
        <v>0</v>
      </c>
      <c r="E30" s="18">
        <v>4950</v>
      </c>
      <c r="F30" s="49">
        <f t="shared" si="3"/>
        <v>4752.4949999999999</v>
      </c>
      <c r="G30" s="15">
        <f t="shared" si="0"/>
        <v>-1550</v>
      </c>
      <c r="H30" s="15">
        <f t="shared" si="0"/>
        <v>0</v>
      </c>
      <c r="I30" s="16">
        <f t="shared" si="4"/>
        <v>825</v>
      </c>
      <c r="J30" s="21">
        <v>4800</v>
      </c>
      <c r="K30" s="21">
        <v>5500</v>
      </c>
      <c r="L30" s="40">
        <f t="shared" si="1"/>
        <v>6500</v>
      </c>
      <c r="M30" s="26">
        <f t="shared" si="5"/>
        <v>-3250</v>
      </c>
      <c r="N30" s="25">
        <f t="shared" si="6"/>
        <v>-550</v>
      </c>
    </row>
    <row r="31" spans="1:18" x14ac:dyDescent="0.3">
      <c r="A31" s="38">
        <f t="shared" si="2"/>
        <v>46294</v>
      </c>
      <c r="B31" s="18">
        <v>1200</v>
      </c>
      <c r="C31" s="18">
        <v>2640</v>
      </c>
      <c r="D31" s="18">
        <v>0</v>
      </c>
      <c r="E31" s="18">
        <v>2640</v>
      </c>
      <c r="F31" s="49">
        <f t="shared" si="3"/>
        <v>2534.6640000000002</v>
      </c>
      <c r="G31" s="15">
        <f t="shared" si="0"/>
        <v>-1200</v>
      </c>
      <c r="H31" s="15">
        <f t="shared" si="0"/>
        <v>0</v>
      </c>
      <c r="I31" s="16">
        <f t="shared" si="4"/>
        <v>440</v>
      </c>
      <c r="J31" s="21">
        <v>0</v>
      </c>
      <c r="K31" s="21">
        <v>0</v>
      </c>
      <c r="L31" s="40">
        <f t="shared" si="1"/>
        <v>3840</v>
      </c>
      <c r="M31" s="26">
        <f t="shared" si="5"/>
        <v>1200</v>
      </c>
      <c r="N31" s="25">
        <f t="shared" si="6"/>
        <v>2640</v>
      </c>
    </row>
    <row r="32" spans="1:18" x14ac:dyDescent="0.3">
      <c r="A32" s="38">
        <f t="shared" si="2"/>
        <v>46295</v>
      </c>
      <c r="B32" s="18">
        <v>100</v>
      </c>
      <c r="C32" s="18">
        <v>1050</v>
      </c>
      <c r="D32" s="18">
        <v>0</v>
      </c>
      <c r="E32" s="18">
        <v>1050</v>
      </c>
      <c r="F32" s="49">
        <f t="shared" si="3"/>
        <v>1008.105</v>
      </c>
      <c r="G32" s="15">
        <f t="shared" si="0"/>
        <v>-100</v>
      </c>
      <c r="H32" s="15">
        <f t="shared" si="0"/>
        <v>0</v>
      </c>
      <c r="I32" s="16">
        <f t="shared" si="4"/>
        <v>175</v>
      </c>
      <c r="J32" s="21">
        <v>250</v>
      </c>
      <c r="K32" s="21">
        <v>11820</v>
      </c>
      <c r="L32" s="40">
        <f t="shared" si="1"/>
        <v>1150</v>
      </c>
      <c r="M32" s="26">
        <f t="shared" si="5"/>
        <v>-150</v>
      </c>
      <c r="N32" s="25">
        <f t="shared" si="6"/>
        <v>-10770</v>
      </c>
    </row>
    <row r="33" spans="1:15" x14ac:dyDescent="0.3">
      <c r="A33" s="38"/>
      <c r="B33" s="18"/>
      <c r="C33" s="18"/>
      <c r="D33" s="18"/>
      <c r="E33" s="18"/>
      <c r="F33" s="49"/>
      <c r="G33" s="15"/>
      <c r="H33" s="15"/>
      <c r="I33" s="20"/>
      <c r="J33" s="21"/>
      <c r="K33" s="21"/>
      <c r="L33" s="40"/>
      <c r="M33" s="26">
        <f t="shared" si="5"/>
        <v>0</v>
      </c>
      <c r="N33" s="25">
        <f t="shared" si="6"/>
        <v>0</v>
      </c>
    </row>
    <row r="34" spans="1:15" s="8" customFormat="1" ht="27.6" customHeight="1" x14ac:dyDescent="0.35">
      <c r="A34" s="24" t="s">
        <v>4</v>
      </c>
      <c r="B34" s="24">
        <f>SUM(B3:B33)</f>
        <v>28640</v>
      </c>
      <c r="C34" s="24">
        <f>SUM(C3:C33)</f>
        <v>89470</v>
      </c>
      <c r="D34" s="24">
        <f>SUM(D3:D33)</f>
        <v>0</v>
      </c>
      <c r="E34" s="24">
        <f>SUM(E3:E33)</f>
        <v>89470</v>
      </c>
      <c r="F34" s="49">
        <f>+E34-(E34*3.99/100)</f>
        <v>85900.146999999997</v>
      </c>
      <c r="G34" s="15">
        <f t="shared" ref="G34:N34" si="7">SUM(G3:G32)</f>
        <v>-28640</v>
      </c>
      <c r="H34" s="23">
        <f t="shared" si="7"/>
        <v>0</v>
      </c>
      <c r="I34" s="24">
        <f>SUM(I3:I32)</f>
        <v>14911.666666666666</v>
      </c>
      <c r="J34" s="24">
        <f>SUM(J3:J33)</f>
        <v>27890</v>
      </c>
      <c r="K34" s="24"/>
      <c r="L34" s="47">
        <f>SUM(L3:L32)</f>
        <v>118110</v>
      </c>
      <c r="M34" s="27">
        <f t="shared" si="7"/>
        <v>-470</v>
      </c>
      <c r="N34" s="27">
        <f t="shared" si="7"/>
        <v>-42190</v>
      </c>
      <c r="O34" s="13"/>
    </row>
    <row r="35" spans="1:15" x14ac:dyDescent="0.3">
      <c r="E35" s="43" t="s">
        <v>34</v>
      </c>
      <c r="F35" s="50">
        <f>+E34-F34</f>
        <v>3569.8530000000028</v>
      </c>
      <c r="L35" s="37">
        <f>AVERAGE(L3:L32)</f>
        <v>3937</v>
      </c>
    </row>
    <row r="37" spans="1:15" ht="18" x14ac:dyDescent="0.3">
      <c r="H37" s="51" t="s">
        <v>14</v>
      </c>
      <c r="I37" s="51"/>
      <c r="J37" s="12">
        <f>SUM(L3:L32)</f>
        <v>118110</v>
      </c>
    </row>
    <row r="38" spans="1:15" ht="11.4" customHeight="1" x14ac:dyDescent="0.3">
      <c r="H38" s="51" t="s">
        <v>16</v>
      </c>
      <c r="I38" s="51"/>
      <c r="J38" s="12">
        <f>SUM(+J34+K34)</f>
        <v>27890</v>
      </c>
    </row>
    <row r="39" spans="1:15" ht="18" x14ac:dyDescent="0.3">
      <c r="H39" s="51" t="s">
        <v>15</v>
      </c>
      <c r="I39" s="51"/>
      <c r="J39" s="12">
        <f>SUM(M34+N34)</f>
        <v>-42660</v>
      </c>
    </row>
  </sheetData>
  <mergeCells count="3">
    <mergeCell ref="H37:I37"/>
    <mergeCell ref="H38:I38"/>
    <mergeCell ref="H39:I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C030-C7F5-4554-B5F5-1B4CEB44777F}">
  <dimension ref="A1:R39"/>
  <sheetViews>
    <sheetView topLeftCell="A2" zoomScale="96" zoomScaleNormal="96" workbookViewId="0">
      <selection activeCell="H37" sqref="H37:I37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5" customWidth="1"/>
    <col min="7" max="7" width="14.88671875" style="1" customWidth="1"/>
    <col min="8" max="8" width="15.6640625" bestFit="1" customWidth="1"/>
    <col min="9" max="11" width="14.88671875" customWidth="1"/>
    <col min="12" max="12" width="14.6640625" style="29" bestFit="1" customWidth="1"/>
    <col min="13" max="13" width="13.33203125" bestFit="1" customWidth="1"/>
    <col min="14" max="14" width="15.33203125" customWidth="1"/>
    <col min="15" max="15" width="14.6640625" bestFit="1" customWidth="1"/>
  </cols>
  <sheetData>
    <row r="1" spans="1:15" ht="16.2" hidden="1" thickBot="1" x14ac:dyDescent="0.35"/>
    <row r="2" spans="1:15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48" t="s">
        <v>33</v>
      </c>
      <c r="G2" s="5" t="s">
        <v>7</v>
      </c>
      <c r="H2" s="5" t="s">
        <v>8</v>
      </c>
      <c r="I2" s="9" t="s">
        <v>9</v>
      </c>
      <c r="J2" s="10" t="s">
        <v>10</v>
      </c>
      <c r="K2" s="10" t="s">
        <v>11</v>
      </c>
      <c r="L2" s="39" t="s">
        <v>3</v>
      </c>
      <c r="M2" s="11" t="s">
        <v>12</v>
      </c>
      <c r="N2" s="11" t="s">
        <v>13</v>
      </c>
    </row>
    <row r="3" spans="1:15" x14ac:dyDescent="0.3">
      <c r="A3" s="38">
        <v>46235</v>
      </c>
      <c r="B3" s="14">
        <v>2200</v>
      </c>
      <c r="C3" s="14">
        <v>3790</v>
      </c>
      <c r="D3" s="14">
        <v>0</v>
      </c>
      <c r="E3" s="14">
        <v>3790</v>
      </c>
      <c r="F3" s="49">
        <f>+E3-(E3*3.99/100)</f>
        <v>3638.779</v>
      </c>
      <c r="G3" s="15">
        <f t="shared" ref="G3:H32" si="0">SUM(D3-B3)</f>
        <v>-2200</v>
      </c>
      <c r="H3" s="15">
        <f t="shared" si="0"/>
        <v>0</v>
      </c>
      <c r="I3" s="16">
        <f>+C3*2/12</f>
        <v>631.66666666666663</v>
      </c>
      <c r="J3" s="17">
        <v>40</v>
      </c>
      <c r="K3" s="17">
        <v>60</v>
      </c>
      <c r="L3" s="40">
        <f t="shared" ref="L3:L33" si="1">+E3+B3</f>
        <v>5990</v>
      </c>
      <c r="M3" s="25">
        <f>SUM(B3-J3)</f>
        <v>2160</v>
      </c>
      <c r="N3" s="25">
        <f>SUM(E3-K3)</f>
        <v>3730</v>
      </c>
    </row>
    <row r="4" spans="1:15" x14ac:dyDescent="0.3">
      <c r="A4" s="38">
        <f t="shared" ref="A4:A32" si="2">+A3+1</f>
        <v>46236</v>
      </c>
      <c r="B4" s="14">
        <v>200</v>
      </c>
      <c r="C4" s="14">
        <v>4100</v>
      </c>
      <c r="D4" s="18">
        <v>0</v>
      </c>
      <c r="E4" s="18">
        <v>4100</v>
      </c>
      <c r="F4" s="49">
        <f t="shared" ref="F4:F34" si="3">+E4-(E4*3.99/100)</f>
        <v>3936.41</v>
      </c>
      <c r="G4" s="15">
        <f t="shared" si="0"/>
        <v>-200</v>
      </c>
      <c r="H4" s="15">
        <f t="shared" si="0"/>
        <v>0</v>
      </c>
      <c r="I4" s="16">
        <f t="shared" ref="I4:I33" si="4">+C4*2/12</f>
        <v>683.33333333333337</v>
      </c>
      <c r="J4" s="21">
        <v>200</v>
      </c>
      <c r="K4" s="21">
        <v>700</v>
      </c>
      <c r="L4" s="40">
        <f t="shared" si="1"/>
        <v>4300</v>
      </c>
      <c r="M4" s="26">
        <f t="shared" ref="M4:M33" si="5">SUM(B4-J4)</f>
        <v>0</v>
      </c>
      <c r="N4" s="25">
        <f t="shared" ref="N4:N33" si="6">SUM(E4-K4)</f>
        <v>3400</v>
      </c>
    </row>
    <row r="5" spans="1:15" x14ac:dyDescent="0.3">
      <c r="A5" s="38">
        <f t="shared" si="2"/>
        <v>46237</v>
      </c>
      <c r="B5" s="18">
        <v>0</v>
      </c>
      <c r="C5" s="18">
        <v>1350</v>
      </c>
      <c r="D5" s="18">
        <v>0</v>
      </c>
      <c r="E5" s="18">
        <v>1350</v>
      </c>
      <c r="F5" s="49">
        <f t="shared" si="3"/>
        <v>1296.135</v>
      </c>
      <c r="G5" s="15">
        <f t="shared" si="0"/>
        <v>0</v>
      </c>
      <c r="H5" s="15">
        <f t="shared" si="0"/>
        <v>0</v>
      </c>
      <c r="I5" s="16">
        <f t="shared" si="4"/>
        <v>225</v>
      </c>
      <c r="J5" s="21">
        <v>600</v>
      </c>
      <c r="K5" s="21">
        <v>0</v>
      </c>
      <c r="L5" s="40">
        <f t="shared" si="1"/>
        <v>1350</v>
      </c>
      <c r="M5" s="26">
        <f t="shared" si="5"/>
        <v>-600</v>
      </c>
      <c r="N5" s="25">
        <f t="shared" si="6"/>
        <v>1350</v>
      </c>
    </row>
    <row r="6" spans="1:15" x14ac:dyDescent="0.3">
      <c r="A6" s="38">
        <f t="shared" si="2"/>
        <v>46238</v>
      </c>
      <c r="B6" s="18">
        <v>200</v>
      </c>
      <c r="C6" s="18">
        <v>1570</v>
      </c>
      <c r="D6" s="18">
        <v>0</v>
      </c>
      <c r="E6" s="18">
        <v>1570</v>
      </c>
      <c r="F6" s="49">
        <f t="shared" si="3"/>
        <v>1507.357</v>
      </c>
      <c r="G6" s="15">
        <f t="shared" si="0"/>
        <v>-200</v>
      </c>
      <c r="H6" s="15">
        <f t="shared" si="0"/>
        <v>0</v>
      </c>
      <c r="I6" s="16">
        <f t="shared" si="4"/>
        <v>261.66666666666669</v>
      </c>
      <c r="J6" s="21">
        <v>350</v>
      </c>
      <c r="K6" s="21">
        <v>0</v>
      </c>
      <c r="L6" s="40">
        <f t="shared" si="1"/>
        <v>1770</v>
      </c>
      <c r="M6" s="26">
        <f t="shared" si="5"/>
        <v>-150</v>
      </c>
      <c r="N6" s="25">
        <f t="shared" si="6"/>
        <v>1570</v>
      </c>
    </row>
    <row r="7" spans="1:15" x14ac:dyDescent="0.3">
      <c r="A7" s="38">
        <f t="shared" si="2"/>
        <v>46239</v>
      </c>
      <c r="B7" s="18">
        <v>1600</v>
      </c>
      <c r="C7" s="18">
        <v>2810</v>
      </c>
      <c r="D7" s="18">
        <v>0</v>
      </c>
      <c r="E7" s="18">
        <v>2810</v>
      </c>
      <c r="F7" s="49">
        <f t="shared" si="3"/>
        <v>2697.8809999999999</v>
      </c>
      <c r="G7" s="15">
        <f t="shared" si="0"/>
        <v>-1600</v>
      </c>
      <c r="H7" s="15">
        <f t="shared" si="0"/>
        <v>0</v>
      </c>
      <c r="I7" s="16">
        <f t="shared" si="4"/>
        <v>468.33333333333331</v>
      </c>
      <c r="J7" s="21">
        <v>3000</v>
      </c>
      <c r="K7" s="21">
        <v>520</v>
      </c>
      <c r="L7" s="40">
        <f t="shared" si="1"/>
        <v>4410</v>
      </c>
      <c r="M7" s="26">
        <f t="shared" si="5"/>
        <v>-1400</v>
      </c>
      <c r="N7" s="25">
        <f t="shared" si="6"/>
        <v>2290</v>
      </c>
    </row>
    <row r="8" spans="1:15" x14ac:dyDescent="0.3">
      <c r="A8" s="38">
        <f t="shared" si="2"/>
        <v>46240</v>
      </c>
      <c r="B8" s="18">
        <v>1750</v>
      </c>
      <c r="C8" s="18">
        <v>3970</v>
      </c>
      <c r="D8" s="18">
        <v>0</v>
      </c>
      <c r="E8" s="18">
        <v>3970</v>
      </c>
      <c r="F8" s="49">
        <f t="shared" si="3"/>
        <v>3811.5969999999998</v>
      </c>
      <c r="G8" s="15">
        <f t="shared" si="0"/>
        <v>-1750</v>
      </c>
      <c r="H8" s="15">
        <f t="shared" si="0"/>
        <v>0</v>
      </c>
      <c r="I8" s="16">
        <f t="shared" si="4"/>
        <v>661.66666666666663</v>
      </c>
      <c r="J8" s="21">
        <v>155</v>
      </c>
      <c r="K8" s="21">
        <v>0</v>
      </c>
      <c r="L8" s="40">
        <f t="shared" si="1"/>
        <v>5720</v>
      </c>
      <c r="M8" s="26">
        <v>0</v>
      </c>
      <c r="N8" s="25">
        <f t="shared" si="6"/>
        <v>3970</v>
      </c>
    </row>
    <row r="9" spans="1:15" x14ac:dyDescent="0.3">
      <c r="A9" s="38">
        <f t="shared" si="2"/>
        <v>46241</v>
      </c>
      <c r="B9" s="18">
        <v>950</v>
      </c>
      <c r="C9" s="18">
        <v>2030</v>
      </c>
      <c r="D9" s="18">
        <v>0</v>
      </c>
      <c r="E9" s="18">
        <v>2030</v>
      </c>
      <c r="F9" s="49">
        <f t="shared" si="3"/>
        <v>1949.0029999999999</v>
      </c>
      <c r="G9" s="15">
        <f t="shared" si="0"/>
        <v>-950</v>
      </c>
      <c r="H9" s="15">
        <f t="shared" si="0"/>
        <v>0</v>
      </c>
      <c r="I9" s="16">
        <f t="shared" si="4"/>
        <v>338.33333333333331</v>
      </c>
      <c r="J9" s="21">
        <v>0</v>
      </c>
      <c r="K9" s="21">
        <v>230</v>
      </c>
      <c r="L9" s="40">
        <f t="shared" si="1"/>
        <v>2980</v>
      </c>
      <c r="M9" s="26">
        <f t="shared" si="5"/>
        <v>950</v>
      </c>
      <c r="N9" s="25">
        <f t="shared" si="6"/>
        <v>1800</v>
      </c>
    </row>
    <row r="10" spans="1:15" x14ac:dyDescent="0.3">
      <c r="A10" s="38">
        <f t="shared" si="2"/>
        <v>46242</v>
      </c>
      <c r="B10" s="18">
        <v>350</v>
      </c>
      <c r="C10" s="18">
        <v>2020</v>
      </c>
      <c r="D10" s="18">
        <v>0</v>
      </c>
      <c r="E10" s="18">
        <v>2020</v>
      </c>
      <c r="F10" s="49">
        <f t="shared" si="3"/>
        <v>1939.402</v>
      </c>
      <c r="G10" s="15">
        <f t="shared" si="0"/>
        <v>-350</v>
      </c>
      <c r="H10" s="15">
        <f t="shared" si="0"/>
        <v>0</v>
      </c>
      <c r="I10" s="16">
        <f t="shared" si="4"/>
        <v>336.66666666666669</v>
      </c>
      <c r="J10" s="21">
        <v>7500</v>
      </c>
      <c r="K10" s="21">
        <v>26910</v>
      </c>
      <c r="L10" s="40">
        <f t="shared" si="1"/>
        <v>2370</v>
      </c>
      <c r="M10" s="26">
        <f t="shared" si="5"/>
        <v>-7150</v>
      </c>
      <c r="N10" s="25">
        <f t="shared" si="6"/>
        <v>-24890</v>
      </c>
    </row>
    <row r="11" spans="1:15" x14ac:dyDescent="0.3">
      <c r="A11" s="38">
        <f t="shared" si="2"/>
        <v>46243</v>
      </c>
      <c r="B11" s="18">
        <v>30</v>
      </c>
      <c r="C11" s="18">
        <v>2050</v>
      </c>
      <c r="D11" s="18">
        <v>0</v>
      </c>
      <c r="E11" s="18">
        <v>2050</v>
      </c>
      <c r="F11" s="49">
        <f t="shared" si="3"/>
        <v>1968.2049999999999</v>
      </c>
      <c r="G11" s="15">
        <f t="shared" si="0"/>
        <v>-30</v>
      </c>
      <c r="H11" s="15">
        <f t="shared" si="0"/>
        <v>0</v>
      </c>
      <c r="I11" s="16">
        <f t="shared" si="4"/>
        <v>341.66666666666669</v>
      </c>
      <c r="J11" s="21">
        <v>120</v>
      </c>
      <c r="K11" s="21">
        <v>0</v>
      </c>
      <c r="L11" s="40">
        <f t="shared" si="1"/>
        <v>2080</v>
      </c>
      <c r="M11" s="26">
        <f t="shared" si="5"/>
        <v>-90</v>
      </c>
      <c r="N11" s="25">
        <f t="shared" si="6"/>
        <v>2050</v>
      </c>
    </row>
    <row r="12" spans="1:15" x14ac:dyDescent="0.3">
      <c r="A12" s="38">
        <f t="shared" si="2"/>
        <v>46244</v>
      </c>
      <c r="B12" s="18">
        <v>2000</v>
      </c>
      <c r="C12" s="18">
        <v>1980</v>
      </c>
      <c r="D12" s="18">
        <v>0</v>
      </c>
      <c r="E12" s="18">
        <v>1980</v>
      </c>
      <c r="F12" s="49">
        <f t="shared" si="3"/>
        <v>1900.998</v>
      </c>
      <c r="G12" s="15">
        <f t="shared" si="0"/>
        <v>-2000</v>
      </c>
      <c r="H12" s="15">
        <f t="shared" si="0"/>
        <v>0</v>
      </c>
      <c r="I12" s="16">
        <f t="shared" si="4"/>
        <v>330</v>
      </c>
      <c r="J12" s="21">
        <v>0</v>
      </c>
      <c r="K12" s="21">
        <v>0</v>
      </c>
      <c r="L12" s="40">
        <f t="shared" si="1"/>
        <v>3980</v>
      </c>
      <c r="M12" s="26">
        <f t="shared" si="5"/>
        <v>2000</v>
      </c>
      <c r="N12" s="25">
        <f t="shared" si="6"/>
        <v>1980</v>
      </c>
      <c r="O12" t="s">
        <v>17</v>
      </c>
    </row>
    <row r="13" spans="1:15" x14ac:dyDescent="0.3">
      <c r="A13" s="38">
        <f t="shared" si="2"/>
        <v>46245</v>
      </c>
      <c r="B13" s="18">
        <v>2220</v>
      </c>
      <c r="C13" s="18">
        <v>3110</v>
      </c>
      <c r="D13" s="18">
        <v>0</v>
      </c>
      <c r="E13" s="18">
        <v>3110</v>
      </c>
      <c r="F13" s="49">
        <f t="shared" si="3"/>
        <v>2985.9110000000001</v>
      </c>
      <c r="G13" s="15">
        <f t="shared" si="0"/>
        <v>-2220</v>
      </c>
      <c r="H13" s="15">
        <f t="shared" si="0"/>
        <v>0</v>
      </c>
      <c r="I13" s="16">
        <f t="shared" si="4"/>
        <v>518.33333333333337</v>
      </c>
      <c r="J13" s="21">
        <v>450</v>
      </c>
      <c r="K13" s="21">
        <v>0</v>
      </c>
      <c r="L13" s="40">
        <f t="shared" si="1"/>
        <v>5330</v>
      </c>
      <c r="M13" s="26">
        <f t="shared" si="5"/>
        <v>1770</v>
      </c>
      <c r="N13" s="25">
        <f t="shared" si="6"/>
        <v>3110</v>
      </c>
    </row>
    <row r="14" spans="1:15" x14ac:dyDescent="0.3">
      <c r="A14" s="38">
        <f t="shared" si="2"/>
        <v>46246</v>
      </c>
      <c r="B14" s="18">
        <v>1650</v>
      </c>
      <c r="C14" s="18">
        <v>1420</v>
      </c>
      <c r="D14" s="18">
        <v>0</v>
      </c>
      <c r="E14" s="18">
        <v>1420</v>
      </c>
      <c r="F14" s="49">
        <f t="shared" si="3"/>
        <v>1363.3420000000001</v>
      </c>
      <c r="G14" s="15">
        <f t="shared" si="0"/>
        <v>-1650</v>
      </c>
      <c r="H14" s="15">
        <f t="shared" si="0"/>
        <v>0</v>
      </c>
      <c r="I14" s="16">
        <f t="shared" si="4"/>
        <v>236.66666666666666</v>
      </c>
      <c r="J14" s="21">
        <v>200</v>
      </c>
      <c r="K14" s="21">
        <v>0</v>
      </c>
      <c r="L14" s="40">
        <f t="shared" si="1"/>
        <v>3070</v>
      </c>
      <c r="M14" s="26">
        <f t="shared" si="5"/>
        <v>1450</v>
      </c>
      <c r="N14" s="25">
        <f t="shared" si="6"/>
        <v>1420</v>
      </c>
    </row>
    <row r="15" spans="1:15" x14ac:dyDescent="0.3">
      <c r="A15" s="38">
        <f t="shared" si="2"/>
        <v>46247</v>
      </c>
      <c r="B15" s="18">
        <v>2385</v>
      </c>
      <c r="C15" s="18">
        <v>4310</v>
      </c>
      <c r="D15" s="18">
        <v>0</v>
      </c>
      <c r="E15" s="18">
        <v>4310</v>
      </c>
      <c r="F15" s="49">
        <f t="shared" si="3"/>
        <v>4138.0309999999999</v>
      </c>
      <c r="G15" s="15">
        <f t="shared" si="0"/>
        <v>-2385</v>
      </c>
      <c r="H15" s="15">
        <f t="shared" si="0"/>
        <v>0</v>
      </c>
      <c r="I15" s="16">
        <f t="shared" si="4"/>
        <v>718.33333333333337</v>
      </c>
      <c r="J15" s="21">
        <v>130</v>
      </c>
      <c r="K15" s="21">
        <v>0</v>
      </c>
      <c r="L15" s="40">
        <f t="shared" si="1"/>
        <v>6695</v>
      </c>
      <c r="M15" s="26">
        <f t="shared" si="5"/>
        <v>2255</v>
      </c>
      <c r="N15" s="25">
        <f t="shared" si="6"/>
        <v>4310</v>
      </c>
    </row>
    <row r="16" spans="1:15" x14ac:dyDescent="0.3">
      <c r="A16" s="38">
        <f t="shared" si="2"/>
        <v>46248</v>
      </c>
      <c r="B16" s="18">
        <v>2820</v>
      </c>
      <c r="C16" s="18">
        <v>2750</v>
      </c>
      <c r="D16" s="18">
        <v>0</v>
      </c>
      <c r="E16" s="18">
        <v>2750</v>
      </c>
      <c r="F16" s="49">
        <f t="shared" si="3"/>
        <v>2640.2750000000001</v>
      </c>
      <c r="G16" s="15">
        <f t="shared" si="0"/>
        <v>-2820</v>
      </c>
      <c r="H16" s="15">
        <f t="shared" si="0"/>
        <v>0</v>
      </c>
      <c r="I16" s="16">
        <f t="shared" si="4"/>
        <v>458.33333333333331</v>
      </c>
      <c r="J16" s="21">
        <v>0</v>
      </c>
      <c r="K16" s="21">
        <v>830</v>
      </c>
      <c r="L16" s="40">
        <f t="shared" si="1"/>
        <v>5570</v>
      </c>
      <c r="M16" s="26">
        <f t="shared" si="5"/>
        <v>2820</v>
      </c>
      <c r="N16" s="25">
        <f t="shared" si="6"/>
        <v>1920</v>
      </c>
    </row>
    <row r="17" spans="1:18" x14ac:dyDescent="0.3">
      <c r="A17" s="38">
        <f t="shared" si="2"/>
        <v>46249</v>
      </c>
      <c r="B17" s="18">
        <v>820</v>
      </c>
      <c r="C17" s="18">
        <v>2900</v>
      </c>
      <c r="D17" s="18">
        <v>0</v>
      </c>
      <c r="E17" s="18">
        <v>2900</v>
      </c>
      <c r="F17" s="49">
        <f t="shared" si="3"/>
        <v>2784.29</v>
      </c>
      <c r="G17" s="15">
        <f t="shared" si="0"/>
        <v>-820</v>
      </c>
      <c r="H17" s="15">
        <f t="shared" si="0"/>
        <v>0</v>
      </c>
      <c r="I17" s="16">
        <f t="shared" si="4"/>
        <v>483.33333333333331</v>
      </c>
      <c r="J17" s="21">
        <v>10100</v>
      </c>
      <c r="K17" s="21">
        <v>17650</v>
      </c>
      <c r="L17" s="40">
        <f t="shared" si="1"/>
        <v>3720</v>
      </c>
      <c r="M17" s="26">
        <f t="shared" si="5"/>
        <v>-9280</v>
      </c>
      <c r="N17" s="25">
        <f t="shared" si="6"/>
        <v>-14750</v>
      </c>
    </row>
    <row r="18" spans="1:18" x14ac:dyDescent="0.3">
      <c r="A18" s="38">
        <f t="shared" si="2"/>
        <v>46250</v>
      </c>
      <c r="B18" s="18">
        <v>720</v>
      </c>
      <c r="C18" s="18">
        <v>2250</v>
      </c>
      <c r="D18" s="18">
        <v>0</v>
      </c>
      <c r="E18" s="18">
        <v>2250</v>
      </c>
      <c r="F18" s="49">
        <f t="shared" si="3"/>
        <v>2160.2249999999999</v>
      </c>
      <c r="G18" s="15">
        <f t="shared" si="0"/>
        <v>-720</v>
      </c>
      <c r="H18" s="15">
        <f t="shared" si="0"/>
        <v>0</v>
      </c>
      <c r="I18" s="16">
        <f t="shared" si="4"/>
        <v>375</v>
      </c>
      <c r="J18" s="21">
        <v>0</v>
      </c>
      <c r="K18" s="21">
        <v>0</v>
      </c>
      <c r="L18" s="40">
        <f t="shared" si="1"/>
        <v>2970</v>
      </c>
      <c r="M18" s="26">
        <f t="shared" si="5"/>
        <v>720</v>
      </c>
      <c r="N18" s="25">
        <f t="shared" si="6"/>
        <v>2250</v>
      </c>
    </row>
    <row r="19" spans="1:18" x14ac:dyDescent="0.3">
      <c r="A19" s="38">
        <f t="shared" si="2"/>
        <v>46251</v>
      </c>
      <c r="B19" s="18">
        <v>850</v>
      </c>
      <c r="C19" s="18">
        <v>1660</v>
      </c>
      <c r="D19" s="18">
        <v>0</v>
      </c>
      <c r="E19" s="18">
        <v>1660</v>
      </c>
      <c r="F19" s="49">
        <f t="shared" si="3"/>
        <v>1593.7660000000001</v>
      </c>
      <c r="G19" s="15">
        <f t="shared" si="0"/>
        <v>-850</v>
      </c>
      <c r="H19" s="15">
        <f t="shared" si="0"/>
        <v>0</v>
      </c>
      <c r="I19" s="16">
        <f t="shared" si="4"/>
        <v>276.66666666666669</v>
      </c>
      <c r="J19" s="21">
        <v>470</v>
      </c>
      <c r="K19" s="21">
        <v>0</v>
      </c>
      <c r="L19" s="40">
        <f t="shared" si="1"/>
        <v>2510</v>
      </c>
      <c r="M19" s="26">
        <f t="shared" si="5"/>
        <v>380</v>
      </c>
      <c r="N19" s="25">
        <f t="shared" si="6"/>
        <v>1660</v>
      </c>
    </row>
    <row r="20" spans="1:18" x14ac:dyDescent="0.3">
      <c r="A20" s="38">
        <f t="shared" si="2"/>
        <v>46252</v>
      </c>
      <c r="B20" s="18">
        <v>400</v>
      </c>
      <c r="C20" s="18">
        <v>2300</v>
      </c>
      <c r="D20" s="18">
        <v>0</v>
      </c>
      <c r="E20" s="18">
        <v>2300</v>
      </c>
      <c r="F20" s="49">
        <f t="shared" si="3"/>
        <v>2208.23</v>
      </c>
      <c r="G20" s="15">
        <f t="shared" si="0"/>
        <v>-400</v>
      </c>
      <c r="H20" s="15">
        <f t="shared" si="0"/>
        <v>0</v>
      </c>
      <c r="I20" s="16">
        <f t="shared" si="4"/>
        <v>383.33333333333331</v>
      </c>
      <c r="J20" s="21">
        <v>125</v>
      </c>
      <c r="K20" s="21">
        <v>0</v>
      </c>
      <c r="L20" s="40">
        <f t="shared" si="1"/>
        <v>2700</v>
      </c>
      <c r="M20" s="26">
        <f t="shared" si="5"/>
        <v>275</v>
      </c>
      <c r="N20" s="25">
        <f t="shared" si="6"/>
        <v>2300</v>
      </c>
    </row>
    <row r="21" spans="1:18" x14ac:dyDescent="0.3">
      <c r="A21" s="38">
        <f t="shared" si="2"/>
        <v>46253</v>
      </c>
      <c r="B21" s="18">
        <v>2450</v>
      </c>
      <c r="C21" s="18">
        <v>1970</v>
      </c>
      <c r="D21" s="18">
        <v>0</v>
      </c>
      <c r="E21" s="18">
        <v>1970</v>
      </c>
      <c r="F21" s="49">
        <f t="shared" si="3"/>
        <v>1891.3969999999999</v>
      </c>
      <c r="G21" s="15">
        <f t="shared" si="0"/>
        <v>-2450</v>
      </c>
      <c r="H21" s="15">
        <f t="shared" si="0"/>
        <v>0</v>
      </c>
      <c r="I21" s="16">
        <f t="shared" si="4"/>
        <v>328.33333333333331</v>
      </c>
      <c r="J21" s="21">
        <v>200</v>
      </c>
      <c r="K21" s="21">
        <v>1050</v>
      </c>
      <c r="L21" s="40">
        <f t="shared" si="1"/>
        <v>4420</v>
      </c>
      <c r="M21" s="26">
        <f t="shared" si="5"/>
        <v>2250</v>
      </c>
      <c r="N21" s="25">
        <f t="shared" si="6"/>
        <v>920</v>
      </c>
      <c r="R21">
        <v>5</v>
      </c>
    </row>
    <row r="22" spans="1:18" x14ac:dyDescent="0.3">
      <c r="A22" s="38">
        <f t="shared" si="2"/>
        <v>46254</v>
      </c>
      <c r="B22" s="18">
        <v>750</v>
      </c>
      <c r="C22" s="18">
        <v>6250</v>
      </c>
      <c r="D22" s="18">
        <v>0</v>
      </c>
      <c r="E22" s="18">
        <v>6250</v>
      </c>
      <c r="F22" s="49">
        <f t="shared" si="3"/>
        <v>6000.625</v>
      </c>
      <c r="G22" s="15">
        <f t="shared" si="0"/>
        <v>-750</v>
      </c>
      <c r="H22" s="15">
        <f t="shared" si="0"/>
        <v>0</v>
      </c>
      <c r="I22" s="16">
        <f t="shared" si="4"/>
        <v>1041.6666666666667</v>
      </c>
      <c r="J22" s="21">
        <v>1700</v>
      </c>
      <c r="K22" s="21">
        <v>4810</v>
      </c>
      <c r="L22" s="40">
        <f t="shared" si="1"/>
        <v>7000</v>
      </c>
      <c r="M22" s="26">
        <f t="shared" si="5"/>
        <v>-950</v>
      </c>
      <c r="N22" s="25">
        <f t="shared" si="6"/>
        <v>1440</v>
      </c>
    </row>
    <row r="23" spans="1:18" x14ac:dyDescent="0.3">
      <c r="A23" s="38">
        <f t="shared" si="2"/>
        <v>46255</v>
      </c>
      <c r="B23" s="18">
        <v>0</v>
      </c>
      <c r="C23" s="18">
        <v>2815</v>
      </c>
      <c r="D23" s="18">
        <v>0</v>
      </c>
      <c r="E23" s="18">
        <v>2815</v>
      </c>
      <c r="F23" s="49">
        <f t="shared" si="3"/>
        <v>2702.6815000000001</v>
      </c>
      <c r="G23" s="15">
        <f t="shared" si="0"/>
        <v>0</v>
      </c>
      <c r="H23" s="15">
        <f t="shared" si="0"/>
        <v>0</v>
      </c>
      <c r="I23" s="16">
        <f t="shared" si="4"/>
        <v>469.16666666666669</v>
      </c>
      <c r="J23" s="21">
        <v>100</v>
      </c>
      <c r="K23" s="21">
        <v>0</v>
      </c>
      <c r="L23" s="40">
        <f t="shared" si="1"/>
        <v>2815</v>
      </c>
      <c r="M23" s="26">
        <f t="shared" si="5"/>
        <v>-100</v>
      </c>
      <c r="N23" s="25">
        <f t="shared" si="6"/>
        <v>2815</v>
      </c>
    </row>
    <row r="24" spans="1:18" x14ac:dyDescent="0.3">
      <c r="A24" s="38">
        <f t="shared" si="2"/>
        <v>46256</v>
      </c>
      <c r="B24" s="18">
        <v>3145</v>
      </c>
      <c r="C24" s="18">
        <v>10090</v>
      </c>
      <c r="D24" s="18">
        <v>0</v>
      </c>
      <c r="E24" s="18">
        <v>10090</v>
      </c>
      <c r="F24" s="49">
        <f t="shared" si="3"/>
        <v>9687.4089999999997</v>
      </c>
      <c r="G24" s="15">
        <f t="shared" si="0"/>
        <v>-3145</v>
      </c>
      <c r="H24" s="15">
        <f t="shared" si="0"/>
        <v>0</v>
      </c>
      <c r="I24" s="16">
        <f t="shared" si="4"/>
        <v>1681.6666666666667</v>
      </c>
      <c r="J24" s="21">
        <v>0</v>
      </c>
      <c r="K24" s="21">
        <v>0</v>
      </c>
      <c r="L24" s="40">
        <f t="shared" si="1"/>
        <v>13235</v>
      </c>
      <c r="M24" s="26">
        <f t="shared" si="5"/>
        <v>3145</v>
      </c>
      <c r="N24" s="25">
        <f t="shared" si="6"/>
        <v>10090</v>
      </c>
    </row>
    <row r="25" spans="1:18" x14ac:dyDescent="0.3">
      <c r="A25" s="38">
        <f t="shared" si="2"/>
        <v>46257</v>
      </c>
      <c r="B25" s="18">
        <v>1550</v>
      </c>
      <c r="C25" s="18">
        <v>0</v>
      </c>
      <c r="D25" s="18">
        <v>0</v>
      </c>
      <c r="E25" s="18">
        <v>0</v>
      </c>
      <c r="F25" s="49">
        <f t="shared" si="3"/>
        <v>0</v>
      </c>
      <c r="G25" s="15">
        <f t="shared" si="0"/>
        <v>-1550</v>
      </c>
      <c r="H25" s="15">
        <f t="shared" si="0"/>
        <v>0</v>
      </c>
      <c r="I25" s="16">
        <f t="shared" si="4"/>
        <v>0</v>
      </c>
      <c r="J25" s="21">
        <v>0</v>
      </c>
      <c r="K25" s="21">
        <v>115</v>
      </c>
      <c r="L25" s="40">
        <f t="shared" si="1"/>
        <v>1550</v>
      </c>
      <c r="M25" s="26">
        <f t="shared" si="5"/>
        <v>1550</v>
      </c>
      <c r="N25" s="25">
        <f t="shared" si="6"/>
        <v>-115</v>
      </c>
      <c r="O25" t="s">
        <v>18</v>
      </c>
    </row>
    <row r="26" spans="1:18" x14ac:dyDescent="0.3">
      <c r="A26" s="38">
        <f t="shared" si="2"/>
        <v>46258</v>
      </c>
      <c r="B26" s="18">
        <v>100</v>
      </c>
      <c r="C26" s="18">
        <v>6040</v>
      </c>
      <c r="D26" s="18">
        <v>0</v>
      </c>
      <c r="E26" s="18">
        <v>6040</v>
      </c>
      <c r="F26" s="49">
        <f t="shared" si="3"/>
        <v>5799.0039999999999</v>
      </c>
      <c r="G26" s="15">
        <f t="shared" si="0"/>
        <v>-100</v>
      </c>
      <c r="H26" s="15">
        <f t="shared" si="0"/>
        <v>0</v>
      </c>
      <c r="I26" s="16">
        <f t="shared" si="4"/>
        <v>1006.6666666666666</v>
      </c>
      <c r="J26" s="21">
        <v>550</v>
      </c>
      <c r="K26" s="21">
        <v>3200</v>
      </c>
      <c r="L26" s="40">
        <f t="shared" si="1"/>
        <v>6140</v>
      </c>
      <c r="M26" s="26">
        <f t="shared" si="5"/>
        <v>-450</v>
      </c>
      <c r="N26" s="25">
        <f t="shared" si="6"/>
        <v>2840</v>
      </c>
    </row>
    <row r="27" spans="1:18" x14ac:dyDescent="0.3">
      <c r="A27" s="38">
        <f t="shared" si="2"/>
        <v>46259</v>
      </c>
      <c r="B27" s="18">
        <v>0</v>
      </c>
      <c r="C27" s="18">
        <v>840</v>
      </c>
      <c r="D27" s="18">
        <v>0</v>
      </c>
      <c r="E27" s="18">
        <v>840</v>
      </c>
      <c r="F27" s="49">
        <f t="shared" si="3"/>
        <v>806.48400000000004</v>
      </c>
      <c r="G27" s="15">
        <f t="shared" si="0"/>
        <v>0</v>
      </c>
      <c r="H27" s="15">
        <f t="shared" si="0"/>
        <v>0</v>
      </c>
      <c r="I27" s="16">
        <f t="shared" si="4"/>
        <v>140</v>
      </c>
      <c r="J27" s="21">
        <v>0</v>
      </c>
      <c r="K27" s="21">
        <v>0</v>
      </c>
      <c r="L27" s="40">
        <f t="shared" si="1"/>
        <v>840</v>
      </c>
      <c r="M27" s="26">
        <f t="shared" si="5"/>
        <v>0</v>
      </c>
      <c r="N27" s="25">
        <f t="shared" si="6"/>
        <v>840</v>
      </c>
    </row>
    <row r="28" spans="1:18" x14ac:dyDescent="0.3">
      <c r="A28" s="38">
        <f t="shared" si="2"/>
        <v>46260</v>
      </c>
      <c r="B28" s="18">
        <v>400</v>
      </c>
      <c r="C28" s="18">
        <v>3890</v>
      </c>
      <c r="D28" s="18">
        <v>0</v>
      </c>
      <c r="E28" s="18">
        <v>3890</v>
      </c>
      <c r="F28" s="49">
        <f t="shared" si="3"/>
        <v>3734.7889999999998</v>
      </c>
      <c r="G28" s="15">
        <f t="shared" si="0"/>
        <v>-400</v>
      </c>
      <c r="H28" s="15">
        <f t="shared" si="0"/>
        <v>0</v>
      </c>
      <c r="I28" s="16">
        <f t="shared" si="4"/>
        <v>648.33333333333337</v>
      </c>
      <c r="J28" s="21">
        <v>1700</v>
      </c>
      <c r="K28" s="21">
        <v>0</v>
      </c>
      <c r="L28" s="40">
        <f t="shared" si="1"/>
        <v>4290</v>
      </c>
      <c r="M28" s="26">
        <f t="shared" si="5"/>
        <v>-1300</v>
      </c>
      <c r="N28" s="25">
        <f t="shared" si="6"/>
        <v>3890</v>
      </c>
    </row>
    <row r="29" spans="1:18" x14ac:dyDescent="0.3">
      <c r="A29" s="38">
        <f t="shared" si="2"/>
        <v>46261</v>
      </c>
      <c r="B29" s="18">
        <v>850</v>
      </c>
      <c r="C29" s="18">
        <v>4340</v>
      </c>
      <c r="D29" s="18">
        <v>0</v>
      </c>
      <c r="E29" s="18">
        <v>4340</v>
      </c>
      <c r="F29" s="49">
        <f t="shared" si="3"/>
        <v>4166.8339999999998</v>
      </c>
      <c r="G29" s="15">
        <f t="shared" si="0"/>
        <v>-850</v>
      </c>
      <c r="H29" s="15">
        <f t="shared" si="0"/>
        <v>0</v>
      </c>
      <c r="I29" s="16">
        <f t="shared" si="4"/>
        <v>723.33333333333337</v>
      </c>
      <c r="J29" s="21">
        <v>580</v>
      </c>
      <c r="K29" s="21">
        <v>0</v>
      </c>
      <c r="L29" s="40">
        <f t="shared" si="1"/>
        <v>5190</v>
      </c>
      <c r="M29" s="26">
        <f t="shared" si="5"/>
        <v>270</v>
      </c>
      <c r="N29" s="25">
        <f t="shared" si="6"/>
        <v>4340</v>
      </c>
    </row>
    <row r="30" spans="1:18" x14ac:dyDescent="0.3">
      <c r="A30" s="38">
        <f t="shared" si="2"/>
        <v>46262</v>
      </c>
      <c r="B30" s="18">
        <v>1530</v>
      </c>
      <c r="C30" s="18">
        <v>2890</v>
      </c>
      <c r="D30" s="18">
        <v>0</v>
      </c>
      <c r="E30" s="18">
        <v>2890</v>
      </c>
      <c r="F30" s="49">
        <f t="shared" si="3"/>
        <v>2774.6889999999999</v>
      </c>
      <c r="G30" s="15">
        <f t="shared" si="0"/>
        <v>-1530</v>
      </c>
      <c r="H30" s="15">
        <f t="shared" si="0"/>
        <v>0</v>
      </c>
      <c r="I30" s="16">
        <f t="shared" si="4"/>
        <v>481.66666666666669</v>
      </c>
      <c r="J30" s="21">
        <v>100</v>
      </c>
      <c r="K30" s="21">
        <v>31365</v>
      </c>
      <c r="L30" s="40">
        <f t="shared" si="1"/>
        <v>4420</v>
      </c>
      <c r="M30" s="26">
        <f t="shared" si="5"/>
        <v>1430</v>
      </c>
      <c r="N30" s="25">
        <f t="shared" si="6"/>
        <v>-28475</v>
      </c>
    </row>
    <row r="31" spans="1:18" x14ac:dyDescent="0.3">
      <c r="A31" s="38">
        <f t="shared" si="2"/>
        <v>46263</v>
      </c>
      <c r="B31" s="18">
        <v>4300</v>
      </c>
      <c r="C31" s="18">
        <v>4550</v>
      </c>
      <c r="D31" s="18">
        <v>0</v>
      </c>
      <c r="E31" s="18">
        <v>4500</v>
      </c>
      <c r="F31" s="49">
        <f t="shared" si="3"/>
        <v>4320.45</v>
      </c>
      <c r="G31" s="15">
        <f t="shared" si="0"/>
        <v>-4300</v>
      </c>
      <c r="H31" s="15">
        <f t="shared" si="0"/>
        <v>-50</v>
      </c>
      <c r="I31" s="16">
        <f t="shared" si="4"/>
        <v>758.33333333333337</v>
      </c>
      <c r="J31" s="21">
        <v>390</v>
      </c>
      <c r="K31" s="21">
        <v>0</v>
      </c>
      <c r="L31" s="40">
        <f t="shared" si="1"/>
        <v>8800</v>
      </c>
      <c r="M31" s="26">
        <f t="shared" si="5"/>
        <v>3910</v>
      </c>
      <c r="N31" s="25">
        <f t="shared" si="6"/>
        <v>4500</v>
      </c>
    </row>
    <row r="32" spans="1:18" x14ac:dyDescent="0.3">
      <c r="A32" s="38">
        <f t="shared" si="2"/>
        <v>46264</v>
      </c>
      <c r="B32" s="18">
        <v>0</v>
      </c>
      <c r="C32" s="18">
        <v>2540</v>
      </c>
      <c r="D32" s="18">
        <v>0</v>
      </c>
      <c r="E32" s="18">
        <v>2540</v>
      </c>
      <c r="F32" s="49">
        <f t="shared" si="3"/>
        <v>2438.654</v>
      </c>
      <c r="G32" s="15">
        <f t="shared" si="0"/>
        <v>0</v>
      </c>
      <c r="H32" s="15">
        <f t="shared" si="0"/>
        <v>0</v>
      </c>
      <c r="I32" s="16">
        <f t="shared" si="4"/>
        <v>423.33333333333331</v>
      </c>
      <c r="J32" s="21">
        <v>795</v>
      </c>
      <c r="K32" s="21">
        <v>0</v>
      </c>
      <c r="L32" s="40">
        <f t="shared" si="1"/>
        <v>2540</v>
      </c>
      <c r="M32" s="26">
        <f t="shared" si="5"/>
        <v>-795</v>
      </c>
      <c r="N32" s="25">
        <f t="shared" si="6"/>
        <v>2540</v>
      </c>
    </row>
    <row r="33" spans="1:15" x14ac:dyDescent="0.3">
      <c r="A33" s="38" t="s">
        <v>44</v>
      </c>
      <c r="B33" s="18">
        <v>800</v>
      </c>
      <c r="C33" s="18">
        <v>4000</v>
      </c>
      <c r="D33" s="18">
        <v>0</v>
      </c>
      <c r="E33" s="18">
        <v>4000</v>
      </c>
      <c r="F33" s="49">
        <f t="shared" si="3"/>
        <v>3840.4</v>
      </c>
      <c r="G33" s="15">
        <f>SUM(D33-B33)</f>
        <v>-800</v>
      </c>
      <c r="H33" s="15">
        <f>SUM(E33-C33)</f>
        <v>0</v>
      </c>
      <c r="I33" s="16">
        <f t="shared" si="4"/>
        <v>666.66666666666663</v>
      </c>
      <c r="J33" s="21">
        <v>700</v>
      </c>
      <c r="K33" s="21">
        <v>0</v>
      </c>
      <c r="L33" s="40">
        <f t="shared" si="1"/>
        <v>4800</v>
      </c>
      <c r="M33" s="26">
        <f t="shared" si="5"/>
        <v>100</v>
      </c>
      <c r="N33" s="25">
        <f t="shared" si="6"/>
        <v>4000</v>
      </c>
    </row>
    <row r="34" spans="1:15" s="8" customFormat="1" ht="27.6" customHeight="1" x14ac:dyDescent="0.35">
      <c r="A34" s="24" t="s">
        <v>4</v>
      </c>
      <c r="B34" s="24">
        <f>SUM(B3:B33)</f>
        <v>37020</v>
      </c>
      <c r="C34" s="24">
        <f>SUM(C3:C33)</f>
        <v>96585</v>
      </c>
      <c r="D34" s="24">
        <f>SUM(D3:D33)</f>
        <v>0</v>
      </c>
      <c r="E34" s="24">
        <f>SUM(E3:E33)</f>
        <v>96535</v>
      </c>
      <c r="F34" s="49">
        <f>+E34-(E34*3.99/100)</f>
        <v>92683.253500000006</v>
      </c>
      <c r="G34" s="15">
        <f>SUM(G3:G33)</f>
        <v>-37020</v>
      </c>
      <c r="H34" s="23">
        <f t="shared" ref="G34:N34" si="7">SUM(H3:H32)</f>
        <v>-50</v>
      </c>
      <c r="I34" s="24">
        <f>SUM(I3:I33)</f>
        <v>16097.499999999998</v>
      </c>
      <c r="J34" s="24">
        <f>SUM(J3:J33)</f>
        <v>30255</v>
      </c>
      <c r="K34" s="24"/>
      <c r="L34" s="47">
        <f t="shared" si="7"/>
        <v>128755</v>
      </c>
      <c r="M34" s="27">
        <f t="shared" si="7"/>
        <v>5070</v>
      </c>
      <c r="N34" s="27">
        <f t="shared" si="7"/>
        <v>5095</v>
      </c>
      <c r="O34" s="13"/>
    </row>
    <row r="35" spans="1:15" x14ac:dyDescent="0.3">
      <c r="E35" s="43" t="s">
        <v>34</v>
      </c>
      <c r="F35" s="50">
        <f>+E34-F34</f>
        <v>3851.7464999999938</v>
      </c>
      <c r="L35" s="37">
        <f>AVERAGE(L3:L32)</f>
        <v>4291.833333333333</v>
      </c>
    </row>
    <row r="37" spans="1:15" ht="18" x14ac:dyDescent="0.3">
      <c r="H37" s="51" t="s">
        <v>14</v>
      </c>
      <c r="I37" s="51"/>
      <c r="J37" s="12">
        <f>SUM(L3:L32)</f>
        <v>128755</v>
      </c>
    </row>
    <row r="38" spans="1:15" ht="11.4" customHeight="1" x14ac:dyDescent="0.3">
      <c r="H38" s="51" t="s">
        <v>16</v>
      </c>
      <c r="I38" s="51"/>
      <c r="J38" s="12">
        <f>SUM(+J34+K34)</f>
        <v>30255</v>
      </c>
    </row>
    <row r="39" spans="1:15" ht="18" x14ac:dyDescent="0.3">
      <c r="H39" s="51" t="s">
        <v>15</v>
      </c>
      <c r="I39" s="51"/>
      <c r="J39" s="12">
        <f>SUM(M34+N34)</f>
        <v>10165</v>
      </c>
    </row>
  </sheetData>
  <mergeCells count="3">
    <mergeCell ref="H37:I37"/>
    <mergeCell ref="H38:I38"/>
    <mergeCell ref="H39:I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2E48-DF2F-422B-96CA-43C94808F041}">
  <dimension ref="A1:R39"/>
  <sheetViews>
    <sheetView topLeftCell="A2" zoomScale="96" zoomScaleNormal="96" workbookViewId="0">
      <selection activeCell="K34" sqref="K34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5" customWidth="1"/>
    <col min="7" max="7" width="14.88671875" style="1" customWidth="1"/>
    <col min="8" max="8" width="15.6640625" bestFit="1" customWidth="1"/>
    <col min="9" max="11" width="14.88671875" customWidth="1"/>
    <col min="12" max="12" width="14.6640625" style="29" bestFit="1" customWidth="1"/>
    <col min="13" max="13" width="13.33203125" bestFit="1" customWidth="1"/>
    <col min="14" max="15" width="14.6640625" bestFit="1" customWidth="1"/>
  </cols>
  <sheetData>
    <row r="1" spans="1:15" ht="16.2" hidden="1" thickBot="1" x14ac:dyDescent="0.35"/>
    <row r="2" spans="1:15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48" t="s">
        <v>33</v>
      </c>
      <c r="G2" s="5" t="s">
        <v>7</v>
      </c>
      <c r="H2" s="5" t="s">
        <v>8</v>
      </c>
      <c r="I2" s="9" t="s">
        <v>9</v>
      </c>
      <c r="J2" s="10" t="s">
        <v>10</v>
      </c>
      <c r="K2" s="10" t="s">
        <v>11</v>
      </c>
      <c r="L2" s="39" t="s">
        <v>3</v>
      </c>
      <c r="M2" s="11" t="s">
        <v>12</v>
      </c>
      <c r="N2" s="11" t="s">
        <v>13</v>
      </c>
    </row>
    <row r="3" spans="1:15" x14ac:dyDescent="0.3">
      <c r="A3" s="38">
        <v>46204</v>
      </c>
      <c r="B3" s="14">
        <v>500</v>
      </c>
      <c r="C3" s="14">
        <v>5340</v>
      </c>
      <c r="D3" s="14">
        <v>0</v>
      </c>
      <c r="E3" s="14">
        <v>5340</v>
      </c>
      <c r="F3" s="49">
        <f>+E3-(E3*3.99/100)</f>
        <v>5126.9340000000002</v>
      </c>
      <c r="G3" s="15">
        <f t="shared" ref="G3:G32" si="0">SUM(D3-B3)</f>
        <v>-500</v>
      </c>
      <c r="H3" s="15">
        <f t="shared" ref="H3:H32" si="1">SUM(E3-C3)</f>
        <v>0</v>
      </c>
      <c r="I3" s="16">
        <v>915</v>
      </c>
      <c r="J3" s="17">
        <v>0</v>
      </c>
      <c r="K3" s="17">
        <v>0</v>
      </c>
      <c r="L3" s="40">
        <f t="shared" ref="L3:L33" si="2">+E3+B3</f>
        <v>5840</v>
      </c>
      <c r="M3" s="25">
        <f>SUM(B3-J3)</f>
        <v>500</v>
      </c>
      <c r="N3" s="25">
        <f>SUM(E3-K3)</f>
        <v>5340</v>
      </c>
    </row>
    <row r="4" spans="1:15" x14ac:dyDescent="0.3">
      <c r="A4" s="38">
        <f t="shared" ref="A4:A32" si="3">+A3+1</f>
        <v>46205</v>
      </c>
      <c r="B4" s="14">
        <v>200</v>
      </c>
      <c r="C4" s="14">
        <v>7760</v>
      </c>
      <c r="D4" s="18">
        <v>0</v>
      </c>
      <c r="E4" s="18">
        <v>7760</v>
      </c>
      <c r="F4" s="49">
        <f t="shared" ref="F4:F34" si="4">+E4-(E4*3.99/100)</f>
        <v>7450.3760000000002</v>
      </c>
      <c r="G4" s="15">
        <f t="shared" si="0"/>
        <v>-200</v>
      </c>
      <c r="H4" s="15">
        <f t="shared" si="1"/>
        <v>0</v>
      </c>
      <c r="I4" s="20">
        <v>1153.3399999999999</v>
      </c>
      <c r="J4" s="21">
        <v>0</v>
      </c>
      <c r="K4" s="21">
        <v>330</v>
      </c>
      <c r="L4" s="40">
        <f t="shared" si="2"/>
        <v>7960</v>
      </c>
      <c r="M4" s="26">
        <f t="shared" ref="M4:M33" si="5">SUM(B4-J4)</f>
        <v>200</v>
      </c>
      <c r="N4" s="25">
        <f t="shared" ref="N4:N33" si="6">SUM(E4-K4)</f>
        <v>7430</v>
      </c>
    </row>
    <row r="5" spans="1:15" x14ac:dyDescent="0.3">
      <c r="A5" s="38">
        <f t="shared" si="3"/>
        <v>46206</v>
      </c>
      <c r="B5" s="18">
        <v>600</v>
      </c>
      <c r="C5" s="18">
        <v>2340</v>
      </c>
      <c r="D5" s="18">
        <v>0</v>
      </c>
      <c r="E5" s="18">
        <v>2340</v>
      </c>
      <c r="F5" s="49">
        <f t="shared" si="4"/>
        <v>2246.634</v>
      </c>
      <c r="G5" s="15">
        <f t="shared" si="0"/>
        <v>-600</v>
      </c>
      <c r="H5" s="15">
        <f t="shared" si="1"/>
        <v>0</v>
      </c>
      <c r="I5" s="20">
        <v>391.68</v>
      </c>
      <c r="J5" s="21">
        <v>200</v>
      </c>
      <c r="K5" s="21">
        <v>0</v>
      </c>
      <c r="L5" s="40">
        <f t="shared" si="2"/>
        <v>2940</v>
      </c>
      <c r="M5" s="26">
        <f t="shared" si="5"/>
        <v>400</v>
      </c>
      <c r="N5" s="25">
        <f t="shared" si="6"/>
        <v>2340</v>
      </c>
    </row>
    <row r="6" spans="1:15" x14ac:dyDescent="0.3">
      <c r="A6" s="38">
        <f t="shared" si="3"/>
        <v>46207</v>
      </c>
      <c r="B6" s="18">
        <v>1400</v>
      </c>
      <c r="C6" s="18">
        <v>4400</v>
      </c>
      <c r="D6" s="18">
        <v>0</v>
      </c>
      <c r="E6" s="18">
        <v>4400</v>
      </c>
      <c r="F6" s="49">
        <f t="shared" si="4"/>
        <v>4224.4399999999996</v>
      </c>
      <c r="G6" s="15">
        <f t="shared" si="0"/>
        <v>-1400</v>
      </c>
      <c r="H6" s="15">
        <f t="shared" si="1"/>
        <v>0</v>
      </c>
      <c r="I6" s="20">
        <v>778.34</v>
      </c>
      <c r="J6" s="21">
        <v>0</v>
      </c>
      <c r="K6" s="21">
        <v>190</v>
      </c>
      <c r="L6" s="40">
        <f t="shared" si="2"/>
        <v>5800</v>
      </c>
      <c r="M6" s="26">
        <f t="shared" si="5"/>
        <v>1400</v>
      </c>
      <c r="N6" s="25">
        <f t="shared" si="6"/>
        <v>4210</v>
      </c>
    </row>
    <row r="7" spans="1:15" x14ac:dyDescent="0.3">
      <c r="A7" s="38">
        <f t="shared" si="3"/>
        <v>46208</v>
      </c>
      <c r="B7" s="18">
        <v>4020</v>
      </c>
      <c r="C7" s="18">
        <v>1640</v>
      </c>
      <c r="D7" s="18">
        <v>0</v>
      </c>
      <c r="E7" s="18">
        <v>1640</v>
      </c>
      <c r="F7" s="49">
        <f t="shared" si="4"/>
        <v>1574.5640000000001</v>
      </c>
      <c r="G7" s="15">
        <f t="shared" si="0"/>
        <v>-4020</v>
      </c>
      <c r="H7" s="15">
        <f t="shared" si="1"/>
        <v>0</v>
      </c>
      <c r="I7" s="20">
        <v>298.33</v>
      </c>
      <c r="J7" s="21">
        <v>750</v>
      </c>
      <c r="K7" s="21">
        <v>1510</v>
      </c>
      <c r="L7" s="40">
        <f t="shared" si="2"/>
        <v>5660</v>
      </c>
      <c r="M7" s="26">
        <f t="shared" si="5"/>
        <v>3270</v>
      </c>
      <c r="N7" s="25">
        <f t="shared" si="6"/>
        <v>130</v>
      </c>
    </row>
    <row r="8" spans="1:15" x14ac:dyDescent="0.3">
      <c r="A8" s="38">
        <f t="shared" si="3"/>
        <v>46209</v>
      </c>
      <c r="B8" s="18">
        <v>500</v>
      </c>
      <c r="C8" s="18">
        <v>8740</v>
      </c>
      <c r="D8" s="18">
        <v>0</v>
      </c>
      <c r="E8" s="18">
        <v>8740</v>
      </c>
      <c r="F8" s="49">
        <f t="shared" si="4"/>
        <v>8391.2739999999994</v>
      </c>
      <c r="G8" s="15">
        <f t="shared" si="0"/>
        <v>-500</v>
      </c>
      <c r="H8" s="15">
        <f t="shared" si="1"/>
        <v>0</v>
      </c>
      <c r="I8" s="20">
        <v>1390.01</v>
      </c>
      <c r="J8" s="21">
        <v>0</v>
      </c>
      <c r="K8" s="21">
        <v>0</v>
      </c>
      <c r="L8" s="40">
        <f t="shared" si="2"/>
        <v>9240</v>
      </c>
      <c r="M8" s="26">
        <v>0</v>
      </c>
      <c r="N8" s="25">
        <f t="shared" si="6"/>
        <v>8740</v>
      </c>
    </row>
    <row r="9" spans="1:15" x14ac:dyDescent="0.3">
      <c r="A9" s="38">
        <f t="shared" si="3"/>
        <v>46210</v>
      </c>
      <c r="B9" s="18">
        <v>720</v>
      </c>
      <c r="C9" s="18">
        <v>2720</v>
      </c>
      <c r="D9" s="18">
        <v>0</v>
      </c>
      <c r="E9" s="18">
        <v>2720</v>
      </c>
      <c r="F9" s="49">
        <f t="shared" si="4"/>
        <v>2611.4720000000002</v>
      </c>
      <c r="G9" s="15">
        <f t="shared" si="0"/>
        <v>-720</v>
      </c>
      <c r="H9" s="15">
        <f t="shared" si="1"/>
        <v>0</v>
      </c>
      <c r="I9" s="20">
        <v>453.33</v>
      </c>
      <c r="J9" s="21">
        <v>3225</v>
      </c>
      <c r="K9" s="21">
        <v>0</v>
      </c>
      <c r="L9" s="40">
        <f t="shared" si="2"/>
        <v>3440</v>
      </c>
      <c r="M9" s="26">
        <f t="shared" si="5"/>
        <v>-2505</v>
      </c>
      <c r="N9" s="25">
        <f t="shared" si="6"/>
        <v>2720</v>
      </c>
    </row>
    <row r="10" spans="1:15" x14ac:dyDescent="0.3">
      <c r="A10" s="38">
        <f t="shared" si="3"/>
        <v>46211</v>
      </c>
      <c r="B10" s="18">
        <v>500</v>
      </c>
      <c r="C10" s="18">
        <v>4520</v>
      </c>
      <c r="D10" s="18">
        <v>0</v>
      </c>
      <c r="E10" s="18">
        <v>4520</v>
      </c>
      <c r="F10" s="49">
        <f t="shared" si="4"/>
        <v>4339.652</v>
      </c>
      <c r="G10" s="15">
        <f t="shared" si="0"/>
        <v>-500</v>
      </c>
      <c r="H10" s="15">
        <f t="shared" si="1"/>
        <v>0</v>
      </c>
      <c r="I10" s="20">
        <v>753.34</v>
      </c>
      <c r="J10" s="21">
        <v>7500</v>
      </c>
      <c r="K10" s="21">
        <v>41400</v>
      </c>
      <c r="L10" s="40">
        <f t="shared" si="2"/>
        <v>5020</v>
      </c>
      <c r="M10" s="26">
        <f t="shared" si="5"/>
        <v>-7000</v>
      </c>
      <c r="N10" s="25">
        <f t="shared" si="6"/>
        <v>-36880</v>
      </c>
    </row>
    <row r="11" spans="1:15" x14ac:dyDescent="0.3">
      <c r="A11" s="38">
        <f t="shared" si="3"/>
        <v>46212</v>
      </c>
      <c r="B11" s="18">
        <v>680</v>
      </c>
      <c r="C11" s="18">
        <v>4300</v>
      </c>
      <c r="D11" s="18">
        <v>0</v>
      </c>
      <c r="E11" s="18">
        <v>4300</v>
      </c>
      <c r="F11" s="49">
        <f t="shared" si="4"/>
        <v>4128.43</v>
      </c>
      <c r="G11" s="15">
        <f t="shared" si="0"/>
        <v>-680</v>
      </c>
      <c r="H11" s="15">
        <f t="shared" si="1"/>
        <v>0</v>
      </c>
      <c r="I11" s="20">
        <v>716.67</v>
      </c>
      <c r="J11" s="21">
        <v>215</v>
      </c>
      <c r="K11" s="21">
        <v>0</v>
      </c>
      <c r="L11" s="40">
        <f t="shared" si="2"/>
        <v>4980</v>
      </c>
      <c r="M11" s="26">
        <f t="shared" si="5"/>
        <v>465</v>
      </c>
      <c r="N11" s="25">
        <f t="shared" si="6"/>
        <v>4300</v>
      </c>
    </row>
    <row r="12" spans="1:15" x14ac:dyDescent="0.3">
      <c r="A12" s="38">
        <f t="shared" si="3"/>
        <v>46213</v>
      </c>
      <c r="B12" s="18">
        <v>0</v>
      </c>
      <c r="C12" s="18">
        <v>3645</v>
      </c>
      <c r="D12" s="18">
        <v>0</v>
      </c>
      <c r="E12" s="18">
        <v>3645</v>
      </c>
      <c r="F12" s="49">
        <f t="shared" si="4"/>
        <v>3499.5645</v>
      </c>
      <c r="G12" s="15">
        <f t="shared" si="0"/>
        <v>0</v>
      </c>
      <c r="H12" s="15">
        <f t="shared" si="1"/>
        <v>0</v>
      </c>
      <c r="I12" s="20">
        <v>607.51</v>
      </c>
      <c r="J12" s="21">
        <v>0</v>
      </c>
      <c r="K12" s="21">
        <v>85</v>
      </c>
      <c r="L12" s="40">
        <f t="shared" si="2"/>
        <v>3645</v>
      </c>
      <c r="M12" s="26">
        <f t="shared" si="5"/>
        <v>0</v>
      </c>
      <c r="N12" s="25">
        <f t="shared" si="6"/>
        <v>3560</v>
      </c>
      <c r="O12" t="s">
        <v>17</v>
      </c>
    </row>
    <row r="13" spans="1:15" x14ac:dyDescent="0.3">
      <c r="A13" s="38">
        <f t="shared" si="3"/>
        <v>46214</v>
      </c>
      <c r="B13" s="18">
        <v>200</v>
      </c>
      <c r="C13" s="18">
        <v>4270</v>
      </c>
      <c r="D13" s="18">
        <v>0</v>
      </c>
      <c r="E13" s="18">
        <v>4270</v>
      </c>
      <c r="F13" s="49">
        <f t="shared" si="4"/>
        <v>4099.6270000000004</v>
      </c>
      <c r="G13" s="15">
        <f t="shared" si="0"/>
        <v>-200</v>
      </c>
      <c r="H13" s="15">
        <f t="shared" si="1"/>
        <v>0</v>
      </c>
      <c r="I13" s="20">
        <v>711.67</v>
      </c>
      <c r="J13" s="21">
        <v>1000</v>
      </c>
      <c r="K13" s="21">
        <v>377</v>
      </c>
      <c r="L13" s="40">
        <f t="shared" si="2"/>
        <v>4470</v>
      </c>
      <c r="M13" s="26">
        <f t="shared" si="5"/>
        <v>-800</v>
      </c>
      <c r="N13" s="25">
        <f t="shared" si="6"/>
        <v>3893</v>
      </c>
    </row>
    <row r="14" spans="1:15" x14ac:dyDescent="0.3">
      <c r="A14" s="38">
        <f t="shared" si="3"/>
        <v>46215</v>
      </c>
      <c r="B14" s="18">
        <v>370</v>
      </c>
      <c r="C14" s="18">
        <v>3400</v>
      </c>
      <c r="D14" s="18">
        <v>0</v>
      </c>
      <c r="E14" s="18">
        <v>3400</v>
      </c>
      <c r="F14" s="49">
        <f t="shared" si="4"/>
        <v>3264.34</v>
      </c>
      <c r="G14" s="15">
        <f t="shared" si="0"/>
        <v>-370</v>
      </c>
      <c r="H14" s="15">
        <f t="shared" si="1"/>
        <v>0</v>
      </c>
      <c r="I14" s="20">
        <v>566.66999999999996</v>
      </c>
      <c r="J14" s="21">
        <v>0</v>
      </c>
      <c r="K14" s="21">
        <v>0</v>
      </c>
      <c r="L14" s="40">
        <f t="shared" si="2"/>
        <v>3770</v>
      </c>
      <c r="M14" s="26">
        <f t="shared" si="5"/>
        <v>370</v>
      </c>
      <c r="N14" s="25">
        <f t="shared" si="6"/>
        <v>3400</v>
      </c>
    </row>
    <row r="15" spans="1:15" x14ac:dyDescent="0.3">
      <c r="A15" s="38">
        <f t="shared" si="3"/>
        <v>46216</v>
      </c>
      <c r="B15" s="18">
        <v>2400</v>
      </c>
      <c r="C15" s="18">
        <v>6330</v>
      </c>
      <c r="D15" s="18">
        <v>0</v>
      </c>
      <c r="E15" s="18">
        <v>6330</v>
      </c>
      <c r="F15" s="49">
        <f t="shared" si="4"/>
        <v>6077.433</v>
      </c>
      <c r="G15" s="15">
        <f t="shared" si="0"/>
        <v>-2400</v>
      </c>
      <c r="H15" s="15">
        <f t="shared" si="1"/>
        <v>0</v>
      </c>
      <c r="I15" s="20">
        <v>1113.33</v>
      </c>
      <c r="J15" s="21">
        <v>0</v>
      </c>
      <c r="K15" s="21">
        <v>620</v>
      </c>
      <c r="L15" s="40">
        <f t="shared" si="2"/>
        <v>8730</v>
      </c>
      <c r="M15" s="26">
        <f t="shared" si="5"/>
        <v>2400</v>
      </c>
      <c r="N15" s="25">
        <f t="shared" si="6"/>
        <v>5710</v>
      </c>
    </row>
    <row r="16" spans="1:15" x14ac:dyDescent="0.3">
      <c r="A16" s="38">
        <f t="shared" si="3"/>
        <v>46217</v>
      </c>
      <c r="B16" s="18">
        <v>400</v>
      </c>
      <c r="C16" s="18">
        <v>900</v>
      </c>
      <c r="D16" s="18">
        <v>0</v>
      </c>
      <c r="E16" s="18">
        <v>900</v>
      </c>
      <c r="F16" s="49">
        <f t="shared" si="4"/>
        <v>864.09</v>
      </c>
      <c r="G16" s="15">
        <f t="shared" si="0"/>
        <v>-400</v>
      </c>
      <c r="H16" s="15">
        <f t="shared" si="1"/>
        <v>0</v>
      </c>
      <c r="I16" s="20">
        <v>150</v>
      </c>
      <c r="J16" s="21">
        <v>350</v>
      </c>
      <c r="K16" s="21">
        <v>0</v>
      </c>
      <c r="L16" s="40">
        <f t="shared" si="2"/>
        <v>1300</v>
      </c>
      <c r="M16" s="26">
        <f t="shared" si="5"/>
        <v>50</v>
      </c>
      <c r="N16" s="25">
        <f t="shared" si="6"/>
        <v>900</v>
      </c>
    </row>
    <row r="17" spans="1:18" x14ac:dyDescent="0.3">
      <c r="A17" s="38">
        <f t="shared" si="3"/>
        <v>46218</v>
      </c>
      <c r="B17" s="18">
        <v>2800</v>
      </c>
      <c r="C17" s="18">
        <v>2120</v>
      </c>
      <c r="D17" s="18">
        <v>0</v>
      </c>
      <c r="E17" s="18">
        <v>2120</v>
      </c>
      <c r="F17" s="49">
        <f t="shared" si="4"/>
        <v>2035.412</v>
      </c>
      <c r="G17" s="15">
        <f t="shared" si="0"/>
        <v>-2800</v>
      </c>
      <c r="H17" s="15">
        <f t="shared" si="1"/>
        <v>0</v>
      </c>
      <c r="I17" s="20">
        <v>353.33</v>
      </c>
      <c r="J17" s="21">
        <v>0</v>
      </c>
      <c r="K17" s="21">
        <v>0</v>
      </c>
      <c r="L17" s="40">
        <f t="shared" si="2"/>
        <v>4920</v>
      </c>
      <c r="M17" s="26">
        <f t="shared" si="5"/>
        <v>2800</v>
      </c>
      <c r="N17" s="25">
        <f t="shared" si="6"/>
        <v>2120</v>
      </c>
    </row>
    <row r="18" spans="1:18" x14ac:dyDescent="0.3">
      <c r="A18" s="38">
        <f t="shared" si="3"/>
        <v>46219</v>
      </c>
      <c r="B18" s="18">
        <v>2250</v>
      </c>
      <c r="C18" s="18">
        <v>6020</v>
      </c>
      <c r="D18" s="18">
        <v>0</v>
      </c>
      <c r="E18" s="18">
        <v>6020</v>
      </c>
      <c r="F18" s="49">
        <f t="shared" si="4"/>
        <v>5779.8019999999997</v>
      </c>
      <c r="G18" s="15">
        <f t="shared" si="0"/>
        <v>-2250</v>
      </c>
      <c r="H18" s="15">
        <f t="shared" si="1"/>
        <v>0</v>
      </c>
      <c r="I18" s="20">
        <v>978.32</v>
      </c>
      <c r="J18" s="21">
        <v>0</v>
      </c>
      <c r="K18" s="21">
        <v>0</v>
      </c>
      <c r="L18" s="40">
        <f t="shared" si="2"/>
        <v>8270</v>
      </c>
      <c r="M18" s="26">
        <f t="shared" si="5"/>
        <v>2250</v>
      </c>
      <c r="N18" s="25">
        <f t="shared" si="6"/>
        <v>6020</v>
      </c>
    </row>
    <row r="19" spans="1:18" x14ac:dyDescent="0.3">
      <c r="A19" s="38">
        <f t="shared" si="3"/>
        <v>46220</v>
      </c>
      <c r="B19" s="18">
        <v>1500</v>
      </c>
      <c r="C19" s="18">
        <v>3010</v>
      </c>
      <c r="D19" s="18">
        <v>0</v>
      </c>
      <c r="E19" s="18">
        <v>3010</v>
      </c>
      <c r="F19" s="49">
        <f t="shared" si="4"/>
        <v>2889.9009999999998</v>
      </c>
      <c r="G19" s="15">
        <f t="shared" si="0"/>
        <v>-1500</v>
      </c>
      <c r="H19" s="15">
        <f t="shared" si="1"/>
        <v>0</v>
      </c>
      <c r="I19" s="20">
        <v>501.68</v>
      </c>
      <c r="J19" s="21">
        <v>510</v>
      </c>
      <c r="K19" s="21">
        <v>0</v>
      </c>
      <c r="L19" s="40">
        <f t="shared" si="2"/>
        <v>4510</v>
      </c>
      <c r="M19" s="26">
        <f t="shared" si="5"/>
        <v>990</v>
      </c>
      <c r="N19" s="25">
        <f t="shared" si="6"/>
        <v>3010</v>
      </c>
    </row>
    <row r="20" spans="1:18" x14ac:dyDescent="0.3">
      <c r="A20" s="38">
        <f t="shared" si="3"/>
        <v>46221</v>
      </c>
      <c r="B20" s="18">
        <v>240</v>
      </c>
      <c r="C20" s="18">
        <v>4510</v>
      </c>
      <c r="D20" s="18">
        <v>0</v>
      </c>
      <c r="E20" s="18">
        <v>4510</v>
      </c>
      <c r="F20" s="49">
        <f t="shared" si="4"/>
        <v>4330.0510000000004</v>
      </c>
      <c r="G20" s="15">
        <f t="shared" si="0"/>
        <v>-240</v>
      </c>
      <c r="H20" s="15">
        <f t="shared" si="1"/>
        <v>0</v>
      </c>
      <c r="I20" s="20">
        <v>751.66</v>
      </c>
      <c r="J20" s="21">
        <v>8300</v>
      </c>
      <c r="K20" s="21">
        <v>36200</v>
      </c>
      <c r="L20" s="40">
        <f t="shared" si="2"/>
        <v>4750</v>
      </c>
      <c r="M20" s="26">
        <f t="shared" si="5"/>
        <v>-8060</v>
      </c>
      <c r="N20" s="25">
        <f t="shared" si="6"/>
        <v>-31690</v>
      </c>
    </row>
    <row r="21" spans="1:18" x14ac:dyDescent="0.3">
      <c r="A21" s="38">
        <f t="shared" si="3"/>
        <v>46222</v>
      </c>
      <c r="B21" s="18">
        <v>0</v>
      </c>
      <c r="C21" s="18">
        <v>700</v>
      </c>
      <c r="D21" s="18">
        <v>0</v>
      </c>
      <c r="E21" s="18">
        <v>700</v>
      </c>
      <c r="F21" s="49">
        <f t="shared" si="4"/>
        <v>672.07</v>
      </c>
      <c r="G21" s="15">
        <f t="shared" si="0"/>
        <v>0</v>
      </c>
      <c r="H21" s="15">
        <f t="shared" si="1"/>
        <v>0</v>
      </c>
      <c r="I21" s="20">
        <v>116.66</v>
      </c>
      <c r="J21" s="21">
        <v>0</v>
      </c>
      <c r="K21" s="21">
        <v>0</v>
      </c>
      <c r="L21" s="40">
        <f t="shared" si="2"/>
        <v>700</v>
      </c>
      <c r="M21" s="26">
        <f t="shared" si="5"/>
        <v>0</v>
      </c>
      <c r="N21" s="25">
        <f t="shared" si="6"/>
        <v>700</v>
      </c>
      <c r="R21">
        <v>5</v>
      </c>
    </row>
    <row r="22" spans="1:18" x14ac:dyDescent="0.3">
      <c r="A22" s="38">
        <f t="shared" si="3"/>
        <v>46223</v>
      </c>
      <c r="B22" s="18">
        <v>900</v>
      </c>
      <c r="C22" s="18">
        <v>870</v>
      </c>
      <c r="D22" s="18">
        <v>0</v>
      </c>
      <c r="E22" s="18">
        <v>870</v>
      </c>
      <c r="F22" s="49">
        <f t="shared" si="4"/>
        <v>835.28700000000003</v>
      </c>
      <c r="G22" s="15">
        <f t="shared" si="0"/>
        <v>-900</v>
      </c>
      <c r="H22" s="15">
        <f t="shared" si="1"/>
        <v>0</v>
      </c>
      <c r="I22" s="20">
        <v>145</v>
      </c>
      <c r="J22" s="21">
        <v>200</v>
      </c>
      <c r="K22" s="21">
        <v>3200</v>
      </c>
      <c r="L22" s="40">
        <f t="shared" si="2"/>
        <v>1770</v>
      </c>
      <c r="M22" s="26">
        <f t="shared" si="5"/>
        <v>700</v>
      </c>
      <c r="N22" s="25">
        <f t="shared" si="6"/>
        <v>-2330</v>
      </c>
    </row>
    <row r="23" spans="1:18" x14ac:dyDescent="0.3">
      <c r="A23" s="38">
        <f t="shared" si="3"/>
        <v>46224</v>
      </c>
      <c r="B23" s="18">
        <v>900</v>
      </c>
      <c r="C23" s="18">
        <v>2950</v>
      </c>
      <c r="D23" s="18">
        <v>0</v>
      </c>
      <c r="E23" s="18">
        <v>2950</v>
      </c>
      <c r="F23" s="49">
        <f t="shared" si="4"/>
        <v>2832.2950000000001</v>
      </c>
      <c r="G23" s="15">
        <f t="shared" si="0"/>
        <v>-900</v>
      </c>
      <c r="H23" s="15">
        <f t="shared" si="1"/>
        <v>0</v>
      </c>
      <c r="I23" s="20">
        <v>481.66</v>
      </c>
      <c r="J23" s="21">
        <v>300</v>
      </c>
      <c r="K23" s="21">
        <v>2140</v>
      </c>
      <c r="L23" s="40">
        <f t="shared" si="2"/>
        <v>3850</v>
      </c>
      <c r="M23" s="26">
        <f t="shared" si="5"/>
        <v>600</v>
      </c>
      <c r="N23" s="25">
        <f t="shared" si="6"/>
        <v>810</v>
      </c>
    </row>
    <row r="24" spans="1:18" x14ac:dyDescent="0.3">
      <c r="A24" s="38">
        <f t="shared" si="3"/>
        <v>46225</v>
      </c>
      <c r="B24" s="18">
        <v>200</v>
      </c>
      <c r="C24" s="18">
        <v>3680</v>
      </c>
      <c r="D24" s="18">
        <v>0</v>
      </c>
      <c r="E24" s="18">
        <v>3680</v>
      </c>
      <c r="F24" s="49">
        <f t="shared" si="4"/>
        <v>3533.1680000000001</v>
      </c>
      <c r="G24" s="15">
        <f t="shared" si="0"/>
        <v>-200</v>
      </c>
      <c r="H24" s="15">
        <f t="shared" si="1"/>
        <v>0</v>
      </c>
      <c r="I24" s="20">
        <v>613.33000000000004</v>
      </c>
      <c r="J24" s="21">
        <v>120</v>
      </c>
      <c r="K24" s="21">
        <v>0</v>
      </c>
      <c r="L24" s="40">
        <f t="shared" si="2"/>
        <v>3880</v>
      </c>
      <c r="M24" s="26">
        <f t="shared" si="5"/>
        <v>80</v>
      </c>
      <c r="N24" s="25">
        <f t="shared" si="6"/>
        <v>3680</v>
      </c>
    </row>
    <row r="25" spans="1:18" x14ac:dyDescent="0.3">
      <c r="A25" s="38">
        <f t="shared" si="3"/>
        <v>46226</v>
      </c>
      <c r="B25" s="18">
        <v>950</v>
      </c>
      <c r="C25" s="18">
        <v>6240</v>
      </c>
      <c r="D25" s="18">
        <v>0</v>
      </c>
      <c r="E25" s="18">
        <v>6240</v>
      </c>
      <c r="F25" s="49">
        <f t="shared" si="4"/>
        <v>5991.0240000000003</v>
      </c>
      <c r="G25" s="15">
        <f t="shared" si="0"/>
        <v>-950</v>
      </c>
      <c r="H25" s="15">
        <f t="shared" si="1"/>
        <v>0</v>
      </c>
      <c r="I25" s="20">
        <v>1040</v>
      </c>
      <c r="J25" s="21">
        <v>350</v>
      </c>
      <c r="K25" s="21">
        <v>0</v>
      </c>
      <c r="L25" s="40">
        <f t="shared" si="2"/>
        <v>7190</v>
      </c>
      <c r="M25" s="26">
        <f t="shared" si="5"/>
        <v>600</v>
      </c>
      <c r="N25" s="25">
        <f t="shared" si="6"/>
        <v>6240</v>
      </c>
      <c r="O25" t="s">
        <v>18</v>
      </c>
    </row>
    <row r="26" spans="1:18" x14ac:dyDescent="0.3">
      <c r="A26" s="38">
        <f t="shared" si="3"/>
        <v>46227</v>
      </c>
      <c r="B26" s="18">
        <v>2400</v>
      </c>
      <c r="C26" s="18">
        <v>3220</v>
      </c>
      <c r="D26" s="18">
        <v>0</v>
      </c>
      <c r="E26" s="18">
        <v>3220</v>
      </c>
      <c r="F26" s="49">
        <f t="shared" si="4"/>
        <v>3091.5219999999999</v>
      </c>
      <c r="G26" s="15">
        <f t="shared" si="0"/>
        <v>-2400</v>
      </c>
      <c r="H26" s="15">
        <f t="shared" si="1"/>
        <v>0</v>
      </c>
      <c r="I26" s="20">
        <v>511.67</v>
      </c>
      <c r="J26" s="21">
        <v>0</v>
      </c>
      <c r="K26" s="21">
        <v>2970</v>
      </c>
      <c r="L26" s="40">
        <f t="shared" si="2"/>
        <v>5620</v>
      </c>
      <c r="M26" s="26">
        <f t="shared" si="5"/>
        <v>2400</v>
      </c>
      <c r="N26" s="25">
        <f t="shared" si="6"/>
        <v>250</v>
      </c>
    </row>
    <row r="27" spans="1:18" x14ac:dyDescent="0.3">
      <c r="A27" s="38">
        <f t="shared" si="3"/>
        <v>46228</v>
      </c>
      <c r="B27" s="18">
        <v>1890</v>
      </c>
      <c r="C27" s="18">
        <v>3550</v>
      </c>
      <c r="D27" s="18">
        <v>0</v>
      </c>
      <c r="E27" s="18">
        <v>3550</v>
      </c>
      <c r="F27" s="49">
        <f t="shared" si="4"/>
        <v>3408.355</v>
      </c>
      <c r="G27" s="15">
        <f t="shared" si="0"/>
        <v>-1890</v>
      </c>
      <c r="H27" s="15">
        <f t="shared" si="1"/>
        <v>0</v>
      </c>
      <c r="I27" s="20">
        <v>591.66999999999996</v>
      </c>
      <c r="J27" s="21">
        <v>315</v>
      </c>
      <c r="K27" s="21">
        <v>0</v>
      </c>
      <c r="L27" s="40">
        <f t="shared" si="2"/>
        <v>5440</v>
      </c>
      <c r="M27" s="26">
        <f t="shared" si="5"/>
        <v>1575</v>
      </c>
      <c r="N27" s="25">
        <f t="shared" si="6"/>
        <v>3550</v>
      </c>
    </row>
    <row r="28" spans="1:18" x14ac:dyDescent="0.3">
      <c r="A28" s="38">
        <f t="shared" si="3"/>
        <v>46229</v>
      </c>
      <c r="B28" s="18">
        <v>0</v>
      </c>
      <c r="C28" s="18">
        <v>530</v>
      </c>
      <c r="D28" s="18">
        <v>0</v>
      </c>
      <c r="E28" s="18">
        <v>530</v>
      </c>
      <c r="F28" s="49">
        <f t="shared" si="4"/>
        <v>508.85300000000001</v>
      </c>
      <c r="G28" s="15">
        <f t="shared" si="0"/>
        <v>0</v>
      </c>
      <c r="H28" s="15">
        <f t="shared" si="1"/>
        <v>0</v>
      </c>
      <c r="I28" s="20">
        <v>88.33</v>
      </c>
      <c r="J28" s="21">
        <v>1395</v>
      </c>
      <c r="K28" s="21">
        <v>0</v>
      </c>
      <c r="L28" s="40">
        <f t="shared" si="2"/>
        <v>530</v>
      </c>
      <c r="M28" s="26">
        <f t="shared" si="5"/>
        <v>-1395</v>
      </c>
      <c r="N28" s="25">
        <f t="shared" si="6"/>
        <v>530</v>
      </c>
    </row>
    <row r="29" spans="1:18" x14ac:dyDescent="0.3">
      <c r="A29" s="38">
        <f t="shared" si="3"/>
        <v>46230</v>
      </c>
      <c r="B29" s="18">
        <v>1300</v>
      </c>
      <c r="C29" s="18">
        <v>2500</v>
      </c>
      <c r="D29" s="18">
        <v>0</v>
      </c>
      <c r="E29" s="18">
        <v>2500</v>
      </c>
      <c r="F29" s="49">
        <f t="shared" si="4"/>
        <v>2400.25</v>
      </c>
      <c r="G29" s="15">
        <f t="shared" si="0"/>
        <v>-1300</v>
      </c>
      <c r="H29" s="15">
        <f t="shared" si="1"/>
        <v>0</v>
      </c>
      <c r="I29" s="20">
        <v>416.66</v>
      </c>
      <c r="J29" s="21">
        <v>3720</v>
      </c>
      <c r="K29" s="21">
        <v>18400</v>
      </c>
      <c r="L29" s="40">
        <f t="shared" si="2"/>
        <v>3800</v>
      </c>
      <c r="M29" s="26">
        <f t="shared" si="5"/>
        <v>-2420</v>
      </c>
      <c r="N29" s="25">
        <f t="shared" si="6"/>
        <v>-15900</v>
      </c>
    </row>
    <row r="30" spans="1:18" x14ac:dyDescent="0.3">
      <c r="A30" s="38">
        <f t="shared" si="3"/>
        <v>46231</v>
      </c>
      <c r="B30" s="18">
        <v>1715</v>
      </c>
      <c r="C30" s="18">
        <v>4530</v>
      </c>
      <c r="D30" s="18">
        <v>0</v>
      </c>
      <c r="E30" s="18">
        <v>4530</v>
      </c>
      <c r="F30" s="49">
        <f t="shared" si="4"/>
        <v>4349.2529999999997</v>
      </c>
      <c r="G30" s="15">
        <f t="shared" si="0"/>
        <v>-1715</v>
      </c>
      <c r="H30" s="15">
        <f t="shared" si="1"/>
        <v>0</v>
      </c>
      <c r="I30" s="20">
        <v>688.34</v>
      </c>
      <c r="J30" s="21">
        <v>200</v>
      </c>
      <c r="K30" s="21">
        <v>0</v>
      </c>
      <c r="L30" s="40">
        <f t="shared" si="2"/>
        <v>6245</v>
      </c>
      <c r="M30" s="26">
        <f t="shared" si="5"/>
        <v>1515</v>
      </c>
      <c r="N30" s="25">
        <f t="shared" si="6"/>
        <v>4530</v>
      </c>
    </row>
    <row r="31" spans="1:18" x14ac:dyDescent="0.3">
      <c r="A31" s="38">
        <f t="shared" si="3"/>
        <v>46232</v>
      </c>
      <c r="B31" s="18">
        <v>760</v>
      </c>
      <c r="C31" s="18">
        <v>6510</v>
      </c>
      <c r="D31" s="18">
        <v>0</v>
      </c>
      <c r="E31" s="18">
        <v>6510</v>
      </c>
      <c r="F31" s="49">
        <f t="shared" si="4"/>
        <v>6250.2510000000002</v>
      </c>
      <c r="G31" s="15">
        <f t="shared" si="0"/>
        <v>-760</v>
      </c>
      <c r="H31" s="15">
        <f t="shared" si="1"/>
        <v>0</v>
      </c>
      <c r="I31" s="20">
        <v>1110</v>
      </c>
      <c r="J31" s="21">
        <v>0</v>
      </c>
      <c r="K31" s="21">
        <v>7000</v>
      </c>
      <c r="L31" s="40">
        <f t="shared" si="2"/>
        <v>7270</v>
      </c>
      <c r="M31" s="26">
        <f t="shared" si="5"/>
        <v>760</v>
      </c>
      <c r="N31" s="25">
        <f t="shared" si="6"/>
        <v>-490</v>
      </c>
    </row>
    <row r="32" spans="1:18" x14ac:dyDescent="0.3">
      <c r="A32" s="38">
        <f t="shared" si="3"/>
        <v>46233</v>
      </c>
      <c r="B32" s="18">
        <v>1200</v>
      </c>
      <c r="C32" s="18">
        <v>1950</v>
      </c>
      <c r="D32" s="18">
        <v>0</v>
      </c>
      <c r="E32" s="18">
        <v>1950</v>
      </c>
      <c r="F32" s="49">
        <f t="shared" si="4"/>
        <v>1872.1949999999999</v>
      </c>
      <c r="G32" s="15">
        <f t="shared" si="0"/>
        <v>-1200</v>
      </c>
      <c r="H32" s="15">
        <f t="shared" si="1"/>
        <v>0</v>
      </c>
      <c r="I32" s="20">
        <v>325.01</v>
      </c>
      <c r="J32" s="21">
        <v>0</v>
      </c>
      <c r="K32" s="21">
        <v>0</v>
      </c>
      <c r="L32" s="40">
        <f t="shared" si="2"/>
        <v>3150</v>
      </c>
      <c r="M32" s="26">
        <f t="shared" si="5"/>
        <v>1200</v>
      </c>
      <c r="N32" s="25">
        <f t="shared" si="6"/>
        <v>1950</v>
      </c>
    </row>
    <row r="33" spans="1:15" x14ac:dyDescent="0.3">
      <c r="A33" s="38" t="s">
        <v>44</v>
      </c>
      <c r="B33" s="18">
        <v>1000</v>
      </c>
      <c r="C33" s="18">
        <v>5150</v>
      </c>
      <c r="D33" s="18">
        <v>0</v>
      </c>
      <c r="E33" s="18">
        <v>5150</v>
      </c>
      <c r="F33" s="49">
        <f t="shared" si="4"/>
        <v>4944.5150000000003</v>
      </c>
      <c r="G33" s="15">
        <f>SUM(D33-B33)</f>
        <v>-1000</v>
      </c>
      <c r="H33" s="15">
        <f>SUM(E33-C33)</f>
        <v>0</v>
      </c>
      <c r="I33" s="20">
        <v>625</v>
      </c>
      <c r="J33" s="21">
        <v>50</v>
      </c>
      <c r="K33" s="21">
        <v>60</v>
      </c>
      <c r="L33" s="40">
        <f t="shared" si="2"/>
        <v>6150</v>
      </c>
      <c r="M33" s="26">
        <f t="shared" si="5"/>
        <v>950</v>
      </c>
      <c r="N33" s="25">
        <f t="shared" si="6"/>
        <v>5090</v>
      </c>
    </row>
    <row r="34" spans="1:15" s="8" customFormat="1" ht="27.6" customHeight="1" x14ac:dyDescent="0.35">
      <c r="A34" s="24" t="s">
        <v>4</v>
      </c>
      <c r="B34" s="24">
        <f>SUM(B3:B33)</f>
        <v>32495</v>
      </c>
      <c r="C34" s="24">
        <f>SUM(C3:C33)</f>
        <v>118345</v>
      </c>
      <c r="D34" s="24">
        <f>SUM(D3:D33)</f>
        <v>0</v>
      </c>
      <c r="E34" s="24">
        <f>SUM(E3:E33)</f>
        <v>118345</v>
      </c>
      <c r="F34" s="49">
        <f t="shared" si="4"/>
        <v>113623.03449999999</v>
      </c>
      <c r="G34" s="15">
        <f t="shared" ref="G34:N34" si="7">SUM(G3:G32)</f>
        <v>-31495</v>
      </c>
      <c r="H34" s="23">
        <f t="shared" si="7"/>
        <v>0</v>
      </c>
      <c r="I34" s="24">
        <f>SUM(I3:I33)</f>
        <v>19337.539999999997</v>
      </c>
      <c r="J34" s="24">
        <f>SUM(J3:J33)</f>
        <v>28700</v>
      </c>
      <c r="K34" s="24">
        <f>SUM(K3:K33)</f>
        <v>114482</v>
      </c>
      <c r="L34" s="47">
        <f t="shared" si="7"/>
        <v>144690</v>
      </c>
      <c r="M34" s="27">
        <f t="shared" si="7"/>
        <v>2345</v>
      </c>
      <c r="N34" s="27">
        <f t="shared" si="7"/>
        <v>-1227</v>
      </c>
      <c r="O34" s="13"/>
    </row>
    <row r="35" spans="1:15" x14ac:dyDescent="0.3">
      <c r="E35" s="43" t="s">
        <v>34</v>
      </c>
      <c r="F35" s="50">
        <f>+E34-F34</f>
        <v>4721.9655000000057</v>
      </c>
      <c r="L35" s="37">
        <f>AVERAGE(L3:L32)</f>
        <v>4823</v>
      </c>
    </row>
    <row r="37" spans="1:15" ht="18" x14ac:dyDescent="0.3">
      <c r="H37" s="51" t="s">
        <v>14</v>
      </c>
      <c r="I37" s="51"/>
      <c r="J37" s="12">
        <f>SUM(L3:L32)</f>
        <v>144690</v>
      </c>
    </row>
    <row r="38" spans="1:15" ht="11.4" customHeight="1" x14ac:dyDescent="0.3">
      <c r="H38" s="51" t="s">
        <v>16</v>
      </c>
      <c r="I38" s="51"/>
      <c r="J38" s="12">
        <f>SUM(+J34+K34)</f>
        <v>143182</v>
      </c>
    </row>
    <row r="39" spans="1:15" ht="18" x14ac:dyDescent="0.3">
      <c r="H39" s="51" t="s">
        <v>15</v>
      </c>
      <c r="I39" s="51"/>
      <c r="J39" s="12">
        <f>SUM(M34+N34)</f>
        <v>1118</v>
      </c>
    </row>
  </sheetData>
  <mergeCells count="3">
    <mergeCell ref="H37:I37"/>
    <mergeCell ref="H38:I38"/>
    <mergeCell ref="H39:I3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7513-597B-497E-8D11-ABB154936052}">
  <dimension ref="A1:R39"/>
  <sheetViews>
    <sheetView topLeftCell="A2" zoomScale="96" zoomScaleNormal="96" workbookViewId="0">
      <selection activeCell="K32" sqref="K32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5" customWidth="1"/>
    <col min="7" max="7" width="14.88671875" style="1" customWidth="1"/>
    <col min="8" max="8" width="15.6640625" bestFit="1" customWidth="1"/>
    <col min="9" max="11" width="14.88671875" customWidth="1"/>
    <col min="12" max="12" width="14.6640625" style="29" bestFit="1" customWidth="1"/>
    <col min="13" max="13" width="13.33203125" bestFit="1" customWidth="1"/>
    <col min="14" max="15" width="14.6640625" bestFit="1" customWidth="1"/>
  </cols>
  <sheetData>
    <row r="1" spans="1:15" ht="16.2" hidden="1" thickBot="1" x14ac:dyDescent="0.35"/>
    <row r="2" spans="1:15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48" t="s">
        <v>33</v>
      </c>
      <c r="G2" s="5" t="s">
        <v>7</v>
      </c>
      <c r="H2" s="5" t="s">
        <v>8</v>
      </c>
      <c r="I2" s="9" t="s">
        <v>9</v>
      </c>
      <c r="J2" s="10" t="s">
        <v>10</v>
      </c>
      <c r="K2" s="10" t="s">
        <v>11</v>
      </c>
      <c r="L2" s="39" t="s">
        <v>3</v>
      </c>
      <c r="M2" s="11" t="s">
        <v>12</v>
      </c>
      <c r="N2" s="11" t="s">
        <v>13</v>
      </c>
    </row>
    <row r="3" spans="1:15" x14ac:dyDescent="0.3">
      <c r="A3" s="38">
        <v>46174</v>
      </c>
      <c r="B3" s="14">
        <v>700</v>
      </c>
      <c r="C3" s="14">
        <f>400+2050</f>
        <v>2450</v>
      </c>
      <c r="D3" s="14">
        <v>0</v>
      </c>
      <c r="E3" s="14">
        <v>2050</v>
      </c>
      <c r="F3" s="49">
        <f>+E3-(E3*3.99/100)</f>
        <v>1968.2049999999999</v>
      </c>
      <c r="G3" s="15">
        <f t="shared" ref="G3:H32" si="0">SUM(D3-B3)</f>
        <v>-700</v>
      </c>
      <c r="H3" s="15">
        <f t="shared" si="0"/>
        <v>-400</v>
      </c>
      <c r="I3" s="16">
        <v>341.66</v>
      </c>
      <c r="J3" s="17">
        <v>350</v>
      </c>
      <c r="K3" s="17">
        <v>0</v>
      </c>
      <c r="L3" s="40">
        <f t="shared" ref="L3:L33" si="1">+E3+B3</f>
        <v>2750</v>
      </c>
      <c r="M3" s="25">
        <f>SUM(B3-J3)</f>
        <v>350</v>
      </c>
      <c r="N3" s="25">
        <f>SUM(E3-K3)</f>
        <v>2050</v>
      </c>
    </row>
    <row r="4" spans="1:15" x14ac:dyDescent="0.3">
      <c r="A4" s="38">
        <f t="shared" ref="A4:A32" si="2">+A3+1</f>
        <v>46175</v>
      </c>
      <c r="B4" s="14">
        <v>2370</v>
      </c>
      <c r="C4" s="14">
        <f>5440+1650</f>
        <v>7090</v>
      </c>
      <c r="D4" s="18">
        <v>0</v>
      </c>
      <c r="E4" s="18">
        <f>1650+5440</f>
        <v>7090</v>
      </c>
      <c r="F4" s="49">
        <f t="shared" ref="F4:F34" si="3">+E4-(E4*3.99/100)</f>
        <v>6807.1090000000004</v>
      </c>
      <c r="G4" s="15">
        <f t="shared" si="0"/>
        <v>-2370</v>
      </c>
      <c r="H4" s="15">
        <f t="shared" si="0"/>
        <v>0</v>
      </c>
      <c r="I4" s="20">
        <f>631.67+275</f>
        <v>906.67</v>
      </c>
      <c r="J4" s="21">
        <v>0</v>
      </c>
      <c r="K4" s="21">
        <v>0</v>
      </c>
      <c r="L4" s="40">
        <f t="shared" si="1"/>
        <v>9460</v>
      </c>
      <c r="M4" s="26">
        <f t="shared" ref="M4:M33" si="4">SUM(B4-J4)</f>
        <v>2370</v>
      </c>
      <c r="N4" s="25">
        <f t="shared" ref="N4:N33" si="5">SUM(E4-K4)</f>
        <v>7090</v>
      </c>
    </row>
    <row r="5" spans="1:15" x14ac:dyDescent="0.3">
      <c r="A5" s="38">
        <f t="shared" si="2"/>
        <v>46176</v>
      </c>
      <c r="B5" s="18">
        <v>745</v>
      </c>
      <c r="C5" s="18">
        <v>1300</v>
      </c>
      <c r="D5" s="18">
        <v>0</v>
      </c>
      <c r="E5" s="18">
        <v>1300</v>
      </c>
      <c r="F5" s="49">
        <f t="shared" si="3"/>
        <v>1248.1300000000001</v>
      </c>
      <c r="G5" s="15">
        <f t="shared" si="0"/>
        <v>-745</v>
      </c>
      <c r="H5" s="15">
        <f t="shared" si="0"/>
        <v>0</v>
      </c>
      <c r="I5" s="20">
        <v>216.67</v>
      </c>
      <c r="J5" s="21">
        <v>0</v>
      </c>
      <c r="K5" s="21">
        <v>0</v>
      </c>
      <c r="L5" s="40">
        <f t="shared" si="1"/>
        <v>2045</v>
      </c>
      <c r="M5" s="26">
        <f t="shared" si="4"/>
        <v>745</v>
      </c>
      <c r="N5" s="25">
        <f t="shared" si="5"/>
        <v>1300</v>
      </c>
    </row>
    <row r="6" spans="1:15" x14ac:dyDescent="0.3">
      <c r="A6" s="38">
        <f t="shared" si="2"/>
        <v>46177</v>
      </c>
      <c r="B6" s="18">
        <v>500</v>
      </c>
      <c r="C6" s="18">
        <v>1900</v>
      </c>
      <c r="D6" s="18">
        <v>0</v>
      </c>
      <c r="E6" s="18">
        <v>1900</v>
      </c>
      <c r="F6" s="49">
        <f t="shared" si="3"/>
        <v>1824.19</v>
      </c>
      <c r="G6" s="15">
        <f t="shared" si="0"/>
        <v>-500</v>
      </c>
      <c r="H6" s="15">
        <f t="shared" si="0"/>
        <v>0</v>
      </c>
      <c r="I6" s="20">
        <v>316.66000000000003</v>
      </c>
      <c r="J6" s="21">
        <v>145</v>
      </c>
      <c r="K6" s="21">
        <v>0</v>
      </c>
      <c r="L6" s="40">
        <f t="shared" si="1"/>
        <v>2400</v>
      </c>
      <c r="M6" s="26">
        <f t="shared" si="4"/>
        <v>355</v>
      </c>
      <c r="N6" s="25">
        <f t="shared" si="5"/>
        <v>1900</v>
      </c>
    </row>
    <row r="7" spans="1:15" x14ac:dyDescent="0.3">
      <c r="A7" s="38">
        <f t="shared" si="2"/>
        <v>46178</v>
      </c>
      <c r="B7" s="18">
        <v>2400</v>
      </c>
      <c r="C7" s="18">
        <v>7440</v>
      </c>
      <c r="D7" s="18">
        <v>275</v>
      </c>
      <c r="E7" s="18">
        <f>7190+250</f>
        <v>7440</v>
      </c>
      <c r="F7" s="49">
        <f t="shared" si="3"/>
        <v>7143.1440000000002</v>
      </c>
      <c r="G7" s="15">
        <f t="shared" si="0"/>
        <v>-2125</v>
      </c>
      <c r="H7" s="15">
        <f t="shared" si="0"/>
        <v>0</v>
      </c>
      <c r="I7" s="20">
        <v>1285.82</v>
      </c>
      <c r="J7" s="21">
        <v>0</v>
      </c>
      <c r="K7" s="21">
        <v>1505</v>
      </c>
      <c r="L7" s="40">
        <f t="shared" si="1"/>
        <v>9840</v>
      </c>
      <c r="M7" s="26">
        <f t="shared" si="4"/>
        <v>2400</v>
      </c>
      <c r="N7" s="25">
        <f t="shared" si="5"/>
        <v>5935</v>
      </c>
    </row>
    <row r="8" spans="1:15" x14ac:dyDescent="0.3">
      <c r="A8" s="38">
        <f t="shared" si="2"/>
        <v>46179</v>
      </c>
      <c r="B8" s="18">
        <v>650</v>
      </c>
      <c r="C8" s="18">
        <v>6070</v>
      </c>
      <c r="D8" s="18">
        <v>0</v>
      </c>
      <c r="E8" s="18">
        <v>6070</v>
      </c>
      <c r="F8" s="49">
        <f t="shared" si="3"/>
        <v>5827.8069999999998</v>
      </c>
      <c r="G8" s="15">
        <f t="shared" si="0"/>
        <v>-650</v>
      </c>
      <c r="H8" s="15">
        <f t="shared" si="0"/>
        <v>0</v>
      </c>
      <c r="I8" s="20">
        <v>1011.67</v>
      </c>
      <c r="J8" s="21">
        <v>3450</v>
      </c>
      <c r="K8" s="21">
        <v>0</v>
      </c>
      <c r="L8" s="40">
        <f t="shared" si="1"/>
        <v>6720</v>
      </c>
      <c r="M8" s="26">
        <v>0</v>
      </c>
      <c r="N8" s="25">
        <f t="shared" si="5"/>
        <v>6070</v>
      </c>
    </row>
    <row r="9" spans="1:15" x14ac:dyDescent="0.3">
      <c r="A9" s="38">
        <f t="shared" si="2"/>
        <v>46180</v>
      </c>
      <c r="B9" s="18">
        <v>0</v>
      </c>
      <c r="C9" s="18">
        <v>360</v>
      </c>
      <c r="D9" s="18">
        <v>0</v>
      </c>
      <c r="E9" s="18">
        <v>360</v>
      </c>
      <c r="F9" s="49">
        <f t="shared" si="3"/>
        <v>345.63600000000002</v>
      </c>
      <c r="G9" s="15">
        <f t="shared" si="0"/>
        <v>0</v>
      </c>
      <c r="H9" s="15">
        <f t="shared" si="0"/>
        <v>0</v>
      </c>
      <c r="I9" s="20">
        <v>60</v>
      </c>
      <c r="J9" s="21">
        <v>0</v>
      </c>
      <c r="K9" s="21">
        <v>0</v>
      </c>
      <c r="L9" s="40">
        <f t="shared" si="1"/>
        <v>360</v>
      </c>
      <c r="M9" s="26">
        <f t="shared" si="4"/>
        <v>0</v>
      </c>
      <c r="N9" s="25">
        <f t="shared" si="5"/>
        <v>360</v>
      </c>
    </row>
    <row r="10" spans="1:15" x14ac:dyDescent="0.3">
      <c r="A10" s="38">
        <f t="shared" si="2"/>
        <v>46181</v>
      </c>
      <c r="B10" s="18">
        <v>1800</v>
      </c>
      <c r="C10" s="18">
        <v>550</v>
      </c>
      <c r="D10" s="18">
        <v>0</v>
      </c>
      <c r="E10" s="18">
        <v>550</v>
      </c>
      <c r="F10" s="49">
        <f t="shared" si="3"/>
        <v>528.05499999999995</v>
      </c>
      <c r="G10" s="15">
        <f t="shared" si="0"/>
        <v>-1800</v>
      </c>
      <c r="H10" s="15">
        <f t="shared" si="0"/>
        <v>0</v>
      </c>
      <c r="I10" s="20">
        <v>91.67</v>
      </c>
      <c r="J10" s="21">
        <v>0</v>
      </c>
      <c r="K10" s="21">
        <v>0</v>
      </c>
      <c r="L10" s="40">
        <f t="shared" si="1"/>
        <v>2350</v>
      </c>
      <c r="M10" s="26">
        <f t="shared" si="4"/>
        <v>1800</v>
      </c>
      <c r="N10" s="25">
        <f t="shared" si="5"/>
        <v>550</v>
      </c>
    </row>
    <row r="11" spans="1:15" x14ac:dyDescent="0.3">
      <c r="A11" s="38">
        <f t="shared" si="2"/>
        <v>46182</v>
      </c>
      <c r="B11" s="18">
        <v>750</v>
      </c>
      <c r="C11" s="18">
        <v>3450</v>
      </c>
      <c r="D11" s="18">
        <v>0</v>
      </c>
      <c r="E11" s="18">
        <v>3450</v>
      </c>
      <c r="F11" s="49">
        <f t="shared" si="3"/>
        <v>3312.3449999999998</v>
      </c>
      <c r="G11" s="15">
        <f t="shared" si="0"/>
        <v>-750</v>
      </c>
      <c r="H11" s="15">
        <f t="shared" si="0"/>
        <v>0</v>
      </c>
      <c r="I11" s="20">
        <v>574.99</v>
      </c>
      <c r="J11" s="21">
        <v>10100</v>
      </c>
      <c r="K11" s="21">
        <v>33860</v>
      </c>
      <c r="L11" s="40">
        <f t="shared" si="1"/>
        <v>4200</v>
      </c>
      <c r="M11" s="26">
        <f t="shared" si="4"/>
        <v>-9350</v>
      </c>
      <c r="N11" s="25">
        <f t="shared" si="5"/>
        <v>-30410</v>
      </c>
    </row>
    <row r="12" spans="1:15" x14ac:dyDescent="0.3">
      <c r="A12" s="38">
        <f t="shared" si="2"/>
        <v>46183</v>
      </c>
      <c r="B12" s="18">
        <v>3820</v>
      </c>
      <c r="C12" s="18">
        <v>6790</v>
      </c>
      <c r="D12" s="18">
        <v>0</v>
      </c>
      <c r="E12" s="18">
        <v>6790</v>
      </c>
      <c r="F12" s="49">
        <f t="shared" si="3"/>
        <v>6519.0789999999997</v>
      </c>
      <c r="G12" s="15">
        <f t="shared" si="0"/>
        <v>-3820</v>
      </c>
      <c r="H12" s="15">
        <f t="shared" si="0"/>
        <v>0</v>
      </c>
      <c r="I12" s="20">
        <v>1131.6600000000001</v>
      </c>
      <c r="J12" s="21">
        <v>350</v>
      </c>
      <c r="K12" s="21">
        <v>1700</v>
      </c>
      <c r="L12" s="40">
        <f t="shared" si="1"/>
        <v>10610</v>
      </c>
      <c r="M12" s="26">
        <f t="shared" si="4"/>
        <v>3470</v>
      </c>
      <c r="N12" s="25">
        <f t="shared" si="5"/>
        <v>5090</v>
      </c>
      <c r="O12" t="s">
        <v>17</v>
      </c>
    </row>
    <row r="13" spans="1:15" x14ac:dyDescent="0.3">
      <c r="A13" s="38">
        <f t="shared" si="2"/>
        <v>46184</v>
      </c>
      <c r="B13" s="18">
        <v>3470</v>
      </c>
      <c r="C13" s="18">
        <f>350+4100</f>
        <v>4450</v>
      </c>
      <c r="D13" s="18">
        <v>370</v>
      </c>
      <c r="E13" s="18">
        <v>4100</v>
      </c>
      <c r="F13" s="49">
        <f t="shared" si="3"/>
        <v>3936.41</v>
      </c>
      <c r="G13" s="15">
        <f t="shared" si="0"/>
        <v>-3100</v>
      </c>
      <c r="H13" s="15">
        <f t="shared" si="0"/>
        <v>-350</v>
      </c>
      <c r="I13" s="20">
        <v>745.01</v>
      </c>
      <c r="J13" s="21">
        <v>0</v>
      </c>
      <c r="K13" s="21">
        <v>0</v>
      </c>
      <c r="L13" s="40">
        <f t="shared" si="1"/>
        <v>7570</v>
      </c>
      <c r="M13" s="26">
        <f t="shared" si="4"/>
        <v>3470</v>
      </c>
      <c r="N13" s="25">
        <f t="shared" si="5"/>
        <v>4100</v>
      </c>
    </row>
    <row r="14" spans="1:15" x14ac:dyDescent="0.3">
      <c r="A14" s="38">
        <f t="shared" si="2"/>
        <v>46185</v>
      </c>
      <c r="B14" s="18">
        <v>1490</v>
      </c>
      <c r="C14" s="18">
        <f>2950+920</f>
        <v>3870</v>
      </c>
      <c r="D14" s="18">
        <v>0</v>
      </c>
      <c r="E14" s="18">
        <v>920</v>
      </c>
      <c r="F14" s="49">
        <f t="shared" si="3"/>
        <v>883.29200000000003</v>
      </c>
      <c r="G14" s="15">
        <f t="shared" si="0"/>
        <v>-1490</v>
      </c>
      <c r="H14" s="15">
        <f t="shared" si="0"/>
        <v>-2950</v>
      </c>
      <c r="I14" s="20">
        <v>153.33000000000001</v>
      </c>
      <c r="J14" s="21">
        <v>70</v>
      </c>
      <c r="K14" s="21">
        <v>0</v>
      </c>
      <c r="L14" s="40">
        <f t="shared" si="1"/>
        <v>2410</v>
      </c>
      <c r="M14" s="26">
        <f t="shared" si="4"/>
        <v>1420</v>
      </c>
      <c r="N14" s="25">
        <f t="shared" si="5"/>
        <v>920</v>
      </c>
    </row>
    <row r="15" spans="1:15" x14ac:dyDescent="0.3">
      <c r="A15" s="38">
        <f t="shared" si="2"/>
        <v>46186</v>
      </c>
      <c r="B15" s="18">
        <v>750</v>
      </c>
      <c r="C15" s="18">
        <v>3640</v>
      </c>
      <c r="D15" s="18">
        <v>0</v>
      </c>
      <c r="E15" s="18">
        <v>3640</v>
      </c>
      <c r="F15" s="49">
        <f t="shared" si="3"/>
        <v>3494.7640000000001</v>
      </c>
      <c r="G15" s="15">
        <f t="shared" si="0"/>
        <v>-750</v>
      </c>
      <c r="H15" s="15">
        <f t="shared" si="0"/>
        <v>0</v>
      </c>
      <c r="I15" s="20">
        <v>620</v>
      </c>
      <c r="J15" s="21">
        <v>0</v>
      </c>
      <c r="K15" s="21">
        <v>550</v>
      </c>
      <c r="L15" s="40">
        <f t="shared" si="1"/>
        <v>4390</v>
      </c>
      <c r="M15" s="26">
        <f t="shared" si="4"/>
        <v>750</v>
      </c>
      <c r="N15" s="25">
        <f t="shared" si="5"/>
        <v>3090</v>
      </c>
    </row>
    <row r="16" spans="1:15" x14ac:dyDescent="0.3">
      <c r="A16" s="38">
        <f t="shared" si="2"/>
        <v>46187</v>
      </c>
      <c r="B16" s="18">
        <v>600</v>
      </c>
      <c r="C16" s="18">
        <v>1220</v>
      </c>
      <c r="D16" s="18">
        <v>0</v>
      </c>
      <c r="E16" s="18">
        <v>1220</v>
      </c>
      <c r="F16" s="49">
        <f t="shared" si="3"/>
        <v>1171.3219999999999</v>
      </c>
      <c r="G16" s="15">
        <f t="shared" si="0"/>
        <v>-600</v>
      </c>
      <c r="H16" s="15">
        <f t="shared" si="0"/>
        <v>0</v>
      </c>
      <c r="I16" s="20">
        <v>203.34</v>
      </c>
      <c r="J16" s="21">
        <v>200</v>
      </c>
      <c r="K16" s="21">
        <v>0</v>
      </c>
      <c r="L16" s="40">
        <f t="shared" si="1"/>
        <v>1820</v>
      </c>
      <c r="M16" s="26">
        <f t="shared" si="4"/>
        <v>400</v>
      </c>
      <c r="N16" s="25">
        <f t="shared" si="5"/>
        <v>1220</v>
      </c>
    </row>
    <row r="17" spans="1:18" x14ac:dyDescent="0.3">
      <c r="A17" s="38">
        <f t="shared" si="2"/>
        <v>46188</v>
      </c>
      <c r="B17" s="18">
        <v>1200</v>
      </c>
      <c r="C17" s="18">
        <v>2330</v>
      </c>
      <c r="D17" s="18">
        <v>0</v>
      </c>
      <c r="E17" s="18">
        <v>2330</v>
      </c>
      <c r="F17" s="49">
        <f t="shared" si="3"/>
        <v>2237.0329999999999</v>
      </c>
      <c r="G17" s="15">
        <f t="shared" si="0"/>
        <v>-1200</v>
      </c>
      <c r="H17" s="15">
        <f t="shared" si="0"/>
        <v>0</v>
      </c>
      <c r="I17" s="20">
        <v>401.66</v>
      </c>
      <c r="J17" s="21">
        <v>7350</v>
      </c>
      <c r="K17" s="21">
        <v>20995</v>
      </c>
      <c r="L17" s="40">
        <f t="shared" si="1"/>
        <v>3530</v>
      </c>
      <c r="M17" s="26">
        <f t="shared" si="4"/>
        <v>-6150</v>
      </c>
      <c r="N17" s="25">
        <f t="shared" si="5"/>
        <v>-18665</v>
      </c>
    </row>
    <row r="18" spans="1:18" x14ac:dyDescent="0.3">
      <c r="A18" s="38">
        <f t="shared" si="2"/>
        <v>46189</v>
      </c>
      <c r="B18" s="18">
        <v>100</v>
      </c>
      <c r="C18" s="18">
        <v>1850</v>
      </c>
      <c r="D18" s="18">
        <v>0</v>
      </c>
      <c r="E18" s="18">
        <v>1850</v>
      </c>
      <c r="F18" s="49">
        <f t="shared" si="3"/>
        <v>1776.1849999999999</v>
      </c>
      <c r="G18" s="15">
        <f t="shared" si="0"/>
        <v>-100</v>
      </c>
      <c r="H18" s="15">
        <f t="shared" si="0"/>
        <v>0</v>
      </c>
      <c r="I18" s="20">
        <v>283.33</v>
      </c>
      <c r="J18" s="21">
        <v>135</v>
      </c>
      <c r="K18" s="21">
        <v>0</v>
      </c>
      <c r="L18" s="40">
        <f t="shared" si="1"/>
        <v>1950</v>
      </c>
      <c r="M18" s="26">
        <f t="shared" si="4"/>
        <v>-35</v>
      </c>
      <c r="N18" s="25">
        <f t="shared" si="5"/>
        <v>1850</v>
      </c>
    </row>
    <row r="19" spans="1:18" x14ac:dyDescent="0.3">
      <c r="A19" s="38">
        <f t="shared" si="2"/>
        <v>46190</v>
      </c>
      <c r="B19" s="18">
        <v>1300</v>
      </c>
      <c r="C19" s="18">
        <v>3630</v>
      </c>
      <c r="D19" s="18">
        <v>0</v>
      </c>
      <c r="E19" s="18">
        <v>3630</v>
      </c>
      <c r="F19" s="49">
        <f t="shared" si="3"/>
        <v>3485.163</v>
      </c>
      <c r="G19" s="15">
        <f t="shared" si="0"/>
        <v>-1300</v>
      </c>
      <c r="H19" s="15">
        <f t="shared" si="0"/>
        <v>0</v>
      </c>
      <c r="I19" s="20">
        <v>604.99</v>
      </c>
      <c r="J19" s="21">
        <v>100</v>
      </c>
      <c r="K19" s="21">
        <v>0</v>
      </c>
      <c r="L19" s="40">
        <f t="shared" si="1"/>
        <v>4930</v>
      </c>
      <c r="M19" s="26">
        <f t="shared" si="4"/>
        <v>1200</v>
      </c>
      <c r="N19" s="25">
        <f t="shared" si="5"/>
        <v>3630</v>
      </c>
    </row>
    <row r="20" spans="1:18" x14ac:dyDescent="0.3">
      <c r="A20" s="38">
        <f t="shared" si="2"/>
        <v>46191</v>
      </c>
      <c r="B20" s="18">
        <v>160</v>
      </c>
      <c r="C20" s="18">
        <v>3270</v>
      </c>
      <c r="D20" s="18">
        <v>0</v>
      </c>
      <c r="E20" s="18">
        <v>3270</v>
      </c>
      <c r="F20" s="49">
        <f t="shared" si="3"/>
        <v>3139.527</v>
      </c>
      <c r="G20" s="15">
        <f t="shared" si="0"/>
        <v>-160</v>
      </c>
      <c r="H20" s="15">
        <f t="shared" si="0"/>
        <v>0</v>
      </c>
      <c r="I20" s="20">
        <v>545.01</v>
      </c>
      <c r="J20" s="21">
        <v>3500</v>
      </c>
      <c r="K20" s="21">
        <v>7755</v>
      </c>
      <c r="L20" s="40">
        <f t="shared" si="1"/>
        <v>3430</v>
      </c>
      <c r="M20" s="26">
        <f t="shared" si="4"/>
        <v>-3340</v>
      </c>
      <c r="N20" s="25">
        <f t="shared" si="5"/>
        <v>-4485</v>
      </c>
    </row>
    <row r="21" spans="1:18" x14ac:dyDescent="0.3">
      <c r="A21" s="38">
        <f t="shared" si="2"/>
        <v>46192</v>
      </c>
      <c r="B21" s="18">
        <v>2500</v>
      </c>
      <c r="C21" s="18">
        <v>2940</v>
      </c>
      <c r="D21" s="18">
        <v>0</v>
      </c>
      <c r="E21" s="18">
        <v>2940</v>
      </c>
      <c r="F21" s="49">
        <f t="shared" si="3"/>
        <v>2822.694</v>
      </c>
      <c r="G21" s="15">
        <f t="shared" si="0"/>
        <v>-2500</v>
      </c>
      <c r="H21" s="15">
        <f t="shared" si="0"/>
        <v>0</v>
      </c>
      <c r="I21" s="20">
        <v>520</v>
      </c>
      <c r="J21" s="21">
        <v>0</v>
      </c>
      <c r="K21" s="21">
        <v>970</v>
      </c>
      <c r="L21" s="40">
        <f t="shared" si="1"/>
        <v>5440</v>
      </c>
      <c r="M21" s="26">
        <f t="shared" si="4"/>
        <v>2500</v>
      </c>
      <c r="N21" s="25">
        <f t="shared" si="5"/>
        <v>1970</v>
      </c>
      <c r="R21">
        <v>5</v>
      </c>
    </row>
    <row r="22" spans="1:18" x14ac:dyDescent="0.3">
      <c r="A22" s="38">
        <f t="shared" si="2"/>
        <v>46193</v>
      </c>
      <c r="B22" s="18">
        <v>600</v>
      </c>
      <c r="C22" s="18">
        <v>6470</v>
      </c>
      <c r="D22" s="18">
        <v>0</v>
      </c>
      <c r="E22" s="18">
        <v>6470</v>
      </c>
      <c r="F22" s="49">
        <f t="shared" si="3"/>
        <v>6211.8469999999998</v>
      </c>
      <c r="G22" s="15">
        <f t="shared" si="0"/>
        <v>-600</v>
      </c>
      <c r="H22" s="15">
        <f t="shared" si="0"/>
        <v>0</v>
      </c>
      <c r="I22" s="20">
        <v>978.34</v>
      </c>
      <c r="J22" s="21">
        <v>950</v>
      </c>
      <c r="K22" s="21">
        <v>4900</v>
      </c>
      <c r="L22" s="40">
        <f t="shared" si="1"/>
        <v>7070</v>
      </c>
      <c r="M22" s="26">
        <f t="shared" si="4"/>
        <v>-350</v>
      </c>
      <c r="N22" s="25">
        <f t="shared" si="5"/>
        <v>1570</v>
      </c>
    </row>
    <row r="23" spans="1:18" x14ac:dyDescent="0.3">
      <c r="A23" s="38">
        <f t="shared" si="2"/>
        <v>46194</v>
      </c>
      <c r="B23" s="18">
        <v>500</v>
      </c>
      <c r="C23" s="18">
        <v>4240</v>
      </c>
      <c r="D23" s="18">
        <v>0</v>
      </c>
      <c r="E23" s="18">
        <v>4240</v>
      </c>
      <c r="F23" s="49">
        <f t="shared" si="3"/>
        <v>4070.8240000000001</v>
      </c>
      <c r="G23" s="15">
        <f t="shared" si="0"/>
        <v>-500</v>
      </c>
      <c r="H23" s="15">
        <f t="shared" si="0"/>
        <v>0</v>
      </c>
      <c r="I23" s="20">
        <v>706.67</v>
      </c>
      <c r="J23" s="21">
        <v>0</v>
      </c>
      <c r="K23" s="21">
        <v>0</v>
      </c>
      <c r="L23" s="40">
        <f t="shared" si="1"/>
        <v>4740</v>
      </c>
      <c r="M23" s="26">
        <f t="shared" si="4"/>
        <v>500</v>
      </c>
      <c r="N23" s="25">
        <f t="shared" si="5"/>
        <v>4240</v>
      </c>
    </row>
    <row r="24" spans="1:18" x14ac:dyDescent="0.3">
      <c r="A24" s="38">
        <f t="shared" si="2"/>
        <v>46195</v>
      </c>
      <c r="B24" s="18">
        <v>890</v>
      </c>
      <c r="C24" s="18">
        <v>2520</v>
      </c>
      <c r="D24" s="18">
        <v>0</v>
      </c>
      <c r="E24" s="18">
        <v>2520</v>
      </c>
      <c r="F24" s="49">
        <f t="shared" si="3"/>
        <v>2419.4519999999998</v>
      </c>
      <c r="G24" s="15">
        <f t="shared" si="0"/>
        <v>-890</v>
      </c>
      <c r="H24" s="15">
        <f t="shared" si="0"/>
        <v>0</v>
      </c>
      <c r="I24" s="20">
        <v>420</v>
      </c>
      <c r="J24" s="21">
        <v>2300</v>
      </c>
      <c r="K24" s="21">
        <v>10690</v>
      </c>
      <c r="L24" s="40">
        <f t="shared" si="1"/>
        <v>3410</v>
      </c>
      <c r="M24" s="26">
        <f t="shared" si="4"/>
        <v>-1410</v>
      </c>
      <c r="N24" s="25">
        <f t="shared" si="5"/>
        <v>-8170</v>
      </c>
    </row>
    <row r="25" spans="1:18" x14ac:dyDescent="0.3">
      <c r="A25" s="38">
        <f t="shared" si="2"/>
        <v>46196</v>
      </c>
      <c r="B25" s="18">
        <v>700</v>
      </c>
      <c r="C25" s="18">
        <v>1600</v>
      </c>
      <c r="D25" s="18">
        <v>0</v>
      </c>
      <c r="E25" s="18">
        <v>1600</v>
      </c>
      <c r="F25" s="49">
        <f t="shared" si="3"/>
        <v>1536.16</v>
      </c>
      <c r="G25" s="15">
        <f t="shared" si="0"/>
        <v>-700</v>
      </c>
      <c r="H25" s="15">
        <f t="shared" si="0"/>
        <v>0</v>
      </c>
      <c r="I25" s="20">
        <v>266.66000000000003</v>
      </c>
      <c r="J25" s="21">
        <v>400</v>
      </c>
      <c r="K25" s="21">
        <v>920</v>
      </c>
      <c r="L25" s="40">
        <f t="shared" si="1"/>
        <v>2300</v>
      </c>
      <c r="M25" s="26">
        <f t="shared" si="4"/>
        <v>300</v>
      </c>
      <c r="N25" s="25">
        <f t="shared" si="5"/>
        <v>680</v>
      </c>
      <c r="O25" t="s">
        <v>18</v>
      </c>
    </row>
    <row r="26" spans="1:18" x14ac:dyDescent="0.3">
      <c r="A26" s="38">
        <f t="shared" si="2"/>
        <v>46197</v>
      </c>
      <c r="B26" s="18">
        <v>0</v>
      </c>
      <c r="C26" s="18">
        <v>1530</v>
      </c>
      <c r="D26" s="18">
        <v>0</v>
      </c>
      <c r="E26" s="18">
        <v>1530</v>
      </c>
      <c r="F26" s="49">
        <f t="shared" si="3"/>
        <v>1468.953</v>
      </c>
      <c r="G26" s="15">
        <f t="shared" si="0"/>
        <v>0</v>
      </c>
      <c r="H26" s="15">
        <f t="shared" si="0"/>
        <v>0</v>
      </c>
      <c r="I26" s="20">
        <v>255</v>
      </c>
      <c r="J26" s="21">
        <v>100</v>
      </c>
      <c r="K26" s="21">
        <v>0</v>
      </c>
      <c r="L26" s="40">
        <f t="shared" si="1"/>
        <v>1530</v>
      </c>
      <c r="M26" s="26">
        <f t="shared" si="4"/>
        <v>-100</v>
      </c>
      <c r="N26" s="25">
        <f t="shared" si="5"/>
        <v>1530</v>
      </c>
    </row>
    <row r="27" spans="1:18" x14ac:dyDescent="0.3">
      <c r="A27" s="38">
        <f t="shared" si="2"/>
        <v>46198</v>
      </c>
      <c r="B27" s="18">
        <v>950</v>
      </c>
      <c r="C27" s="18">
        <v>5845</v>
      </c>
      <c r="D27" s="18">
        <v>0</v>
      </c>
      <c r="E27" s="18">
        <v>5845</v>
      </c>
      <c r="F27" s="49">
        <f t="shared" si="3"/>
        <v>5611.7844999999998</v>
      </c>
      <c r="G27" s="15">
        <f t="shared" si="0"/>
        <v>-950</v>
      </c>
      <c r="H27" s="15">
        <f t="shared" si="0"/>
        <v>0</v>
      </c>
      <c r="I27" s="20">
        <v>999.17</v>
      </c>
      <c r="J27" s="21">
        <v>0</v>
      </c>
      <c r="K27" s="21">
        <v>4450</v>
      </c>
      <c r="L27" s="40">
        <f t="shared" si="1"/>
        <v>6795</v>
      </c>
      <c r="M27" s="26">
        <f t="shared" si="4"/>
        <v>950</v>
      </c>
      <c r="N27" s="25">
        <f t="shared" si="5"/>
        <v>1395</v>
      </c>
    </row>
    <row r="28" spans="1:18" x14ac:dyDescent="0.3">
      <c r="A28" s="38">
        <f t="shared" si="2"/>
        <v>46199</v>
      </c>
      <c r="B28" s="18">
        <v>2250</v>
      </c>
      <c r="C28" s="18">
        <v>4140</v>
      </c>
      <c r="D28" s="18">
        <v>0</v>
      </c>
      <c r="E28" s="18">
        <v>4140</v>
      </c>
      <c r="F28" s="49">
        <f t="shared" si="3"/>
        <v>3974.8139999999999</v>
      </c>
      <c r="G28" s="15">
        <f t="shared" si="0"/>
        <v>-2250</v>
      </c>
      <c r="H28" s="15">
        <f t="shared" si="0"/>
        <v>0</v>
      </c>
      <c r="I28" s="20">
        <v>690</v>
      </c>
      <c r="J28" s="21">
        <v>4800</v>
      </c>
      <c r="K28" s="21">
        <v>5700</v>
      </c>
      <c r="L28" s="40">
        <f t="shared" si="1"/>
        <v>6390</v>
      </c>
      <c r="M28" s="26">
        <f t="shared" si="4"/>
        <v>-2550</v>
      </c>
      <c r="N28" s="25">
        <f t="shared" si="5"/>
        <v>-1560</v>
      </c>
    </row>
    <row r="29" spans="1:18" x14ac:dyDescent="0.3">
      <c r="A29" s="38">
        <f t="shared" si="2"/>
        <v>46200</v>
      </c>
      <c r="B29" s="18">
        <v>2010</v>
      </c>
      <c r="C29" s="18">
        <v>5930</v>
      </c>
      <c r="D29" s="18">
        <v>0</v>
      </c>
      <c r="E29" s="18">
        <v>5930</v>
      </c>
      <c r="F29" s="49">
        <f t="shared" si="3"/>
        <v>5693.393</v>
      </c>
      <c r="G29" s="15">
        <f t="shared" si="0"/>
        <v>-2010</v>
      </c>
      <c r="H29" s="15">
        <f t="shared" si="0"/>
        <v>0</v>
      </c>
      <c r="I29" s="20">
        <v>1033.33</v>
      </c>
      <c r="J29" s="21">
        <v>315</v>
      </c>
      <c r="K29" s="21">
        <v>1050</v>
      </c>
      <c r="L29" s="40">
        <f t="shared" si="1"/>
        <v>7940</v>
      </c>
      <c r="M29" s="26">
        <f t="shared" si="4"/>
        <v>1695</v>
      </c>
      <c r="N29" s="25">
        <f t="shared" si="5"/>
        <v>4880</v>
      </c>
    </row>
    <row r="30" spans="1:18" x14ac:dyDescent="0.3">
      <c r="A30" s="38">
        <f t="shared" si="2"/>
        <v>46201</v>
      </c>
      <c r="B30" s="18">
        <v>400</v>
      </c>
      <c r="C30" s="18">
        <v>450</v>
      </c>
      <c r="D30" s="18">
        <v>0</v>
      </c>
      <c r="E30" s="18">
        <v>450</v>
      </c>
      <c r="F30" s="49">
        <f t="shared" si="3"/>
        <v>432.04500000000002</v>
      </c>
      <c r="G30" s="15">
        <f t="shared" si="0"/>
        <v>-400</v>
      </c>
      <c r="H30" s="15">
        <f t="shared" si="0"/>
        <v>0</v>
      </c>
      <c r="I30" s="20">
        <v>0</v>
      </c>
      <c r="J30" s="21">
        <v>0</v>
      </c>
      <c r="K30" s="21">
        <v>0</v>
      </c>
      <c r="L30" s="40">
        <f t="shared" si="1"/>
        <v>850</v>
      </c>
      <c r="M30" s="26">
        <f t="shared" si="4"/>
        <v>400</v>
      </c>
      <c r="N30" s="25">
        <f t="shared" si="5"/>
        <v>450</v>
      </c>
    </row>
    <row r="31" spans="1:18" x14ac:dyDescent="0.3">
      <c r="A31" s="38">
        <f t="shared" si="2"/>
        <v>46202</v>
      </c>
      <c r="B31" s="18">
        <v>1750</v>
      </c>
      <c r="C31" s="18">
        <v>2770</v>
      </c>
      <c r="D31" s="18">
        <v>0</v>
      </c>
      <c r="E31" s="18">
        <v>2770</v>
      </c>
      <c r="F31" s="49">
        <f t="shared" si="3"/>
        <v>2659.4769999999999</v>
      </c>
      <c r="G31" s="15">
        <f t="shared" si="0"/>
        <v>-1750</v>
      </c>
      <c r="H31" s="15">
        <f t="shared" si="0"/>
        <v>0</v>
      </c>
      <c r="I31" s="20">
        <v>461.66</v>
      </c>
      <c r="J31" s="21">
        <v>600</v>
      </c>
      <c r="K31" s="21">
        <v>0</v>
      </c>
      <c r="L31" s="40">
        <f t="shared" si="1"/>
        <v>4520</v>
      </c>
      <c r="M31" s="26">
        <f t="shared" si="4"/>
        <v>1150</v>
      </c>
      <c r="N31" s="25">
        <f t="shared" si="5"/>
        <v>2770</v>
      </c>
    </row>
    <row r="32" spans="1:18" x14ac:dyDescent="0.3">
      <c r="A32" s="38">
        <f t="shared" si="2"/>
        <v>46203</v>
      </c>
      <c r="B32" s="18">
        <v>700</v>
      </c>
      <c r="C32" s="18">
        <v>620</v>
      </c>
      <c r="D32" s="18">
        <v>0</v>
      </c>
      <c r="E32" s="18">
        <v>620</v>
      </c>
      <c r="F32" s="49">
        <f t="shared" si="3"/>
        <v>595.26199999999994</v>
      </c>
      <c r="G32" s="15">
        <f t="shared" si="0"/>
        <v>-700</v>
      </c>
      <c r="H32" s="15">
        <f t="shared" si="0"/>
        <v>0</v>
      </c>
      <c r="I32" s="20">
        <v>103.33</v>
      </c>
      <c r="J32" s="21">
        <v>0</v>
      </c>
      <c r="K32" s="21">
        <v>0</v>
      </c>
      <c r="L32" s="40">
        <f t="shared" si="1"/>
        <v>1320</v>
      </c>
      <c r="M32" s="26">
        <f t="shared" si="4"/>
        <v>700</v>
      </c>
      <c r="N32" s="25">
        <f t="shared" si="5"/>
        <v>620</v>
      </c>
    </row>
    <row r="33" spans="1:15" x14ac:dyDescent="0.3">
      <c r="A33" s="38"/>
      <c r="B33" s="18"/>
      <c r="C33" s="18"/>
      <c r="D33" s="18"/>
      <c r="E33" s="18"/>
      <c r="F33" s="49">
        <f t="shared" si="3"/>
        <v>0</v>
      </c>
      <c r="G33" s="15">
        <f>SUM(D33-B33)</f>
        <v>0</v>
      </c>
      <c r="H33" s="15">
        <f>SUM(E33-C33)</f>
        <v>0</v>
      </c>
      <c r="I33" s="20"/>
      <c r="J33" s="21"/>
      <c r="K33" s="21"/>
      <c r="L33" s="40">
        <f t="shared" si="1"/>
        <v>0</v>
      </c>
      <c r="M33" s="26">
        <f t="shared" si="4"/>
        <v>0</v>
      </c>
      <c r="N33" s="25">
        <f t="shared" si="5"/>
        <v>0</v>
      </c>
    </row>
    <row r="34" spans="1:15" s="8" customFormat="1" ht="27.6" customHeight="1" x14ac:dyDescent="0.35">
      <c r="A34" s="24" t="s">
        <v>4</v>
      </c>
      <c r="B34" s="24">
        <f>SUM(B3:B33)</f>
        <v>36055</v>
      </c>
      <c r="C34" s="24">
        <f>SUM(C3:C33)</f>
        <v>100715</v>
      </c>
      <c r="D34" s="24">
        <f>SUM(D3:D33)</f>
        <v>645</v>
      </c>
      <c r="E34" s="24">
        <f>SUM(E3:E33)</f>
        <v>97015</v>
      </c>
      <c r="F34" s="49">
        <f t="shared" si="3"/>
        <v>93144.101500000004</v>
      </c>
      <c r="G34" s="15">
        <f t="shared" ref="G34:N34" si="6">SUM(G3:G32)</f>
        <v>-35410</v>
      </c>
      <c r="H34" s="23">
        <f t="shared" si="6"/>
        <v>-3700</v>
      </c>
      <c r="I34" s="24">
        <f>SUM(I3:I33)</f>
        <v>15928.3</v>
      </c>
      <c r="J34" s="24">
        <f>SUM(J3:J33)</f>
        <v>35215</v>
      </c>
      <c r="K34" s="24">
        <f>SUM(K3:K33)</f>
        <v>95045</v>
      </c>
      <c r="L34" s="47">
        <f t="shared" si="6"/>
        <v>133070</v>
      </c>
      <c r="M34" s="27">
        <f t="shared" si="6"/>
        <v>3640</v>
      </c>
      <c r="N34" s="27">
        <f t="shared" si="6"/>
        <v>1970</v>
      </c>
      <c r="O34" s="13"/>
    </row>
    <row r="35" spans="1:15" x14ac:dyDescent="0.3">
      <c r="E35" s="43" t="s">
        <v>34</v>
      </c>
      <c r="F35" s="50">
        <f>+E34-F34</f>
        <v>3870.8984999999957</v>
      </c>
      <c r="L35" s="37">
        <f>AVERAGE(L3:L32)</f>
        <v>4435.666666666667</v>
      </c>
    </row>
    <row r="37" spans="1:15" ht="18" x14ac:dyDescent="0.3">
      <c r="H37" s="51" t="s">
        <v>14</v>
      </c>
      <c r="I37" s="51"/>
      <c r="J37" s="12">
        <f>SUM(L3:L32)</f>
        <v>133070</v>
      </c>
    </row>
    <row r="38" spans="1:15" ht="11.4" customHeight="1" x14ac:dyDescent="0.3">
      <c r="H38" s="51" t="s">
        <v>16</v>
      </c>
      <c r="I38" s="51"/>
      <c r="J38" s="12">
        <f>SUM(+J34+K34)</f>
        <v>130260</v>
      </c>
    </row>
    <row r="39" spans="1:15" ht="18" x14ac:dyDescent="0.3">
      <c r="H39" s="51" t="s">
        <v>15</v>
      </c>
      <c r="I39" s="51"/>
      <c r="J39" s="12">
        <f>SUM(M34+N34)</f>
        <v>5610</v>
      </c>
    </row>
  </sheetData>
  <mergeCells count="3">
    <mergeCell ref="H37:I37"/>
    <mergeCell ref="H38:I38"/>
    <mergeCell ref="H39:I3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opLeftCell="A2" zoomScale="96" zoomScaleNormal="96" workbookViewId="0">
      <selection activeCell="B30" sqref="B30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5" customWidth="1"/>
    <col min="7" max="7" width="14.88671875" style="1" customWidth="1"/>
    <col min="8" max="8" width="15.6640625" bestFit="1" customWidth="1"/>
    <col min="9" max="11" width="14.88671875" customWidth="1"/>
    <col min="12" max="12" width="14.6640625" style="29" bestFit="1" customWidth="1"/>
    <col min="13" max="13" width="13.33203125" bestFit="1" customWidth="1"/>
    <col min="14" max="15" width="14.6640625" bestFit="1" customWidth="1"/>
  </cols>
  <sheetData>
    <row r="1" spans="1:15" ht="16.2" hidden="1" thickBot="1" x14ac:dyDescent="0.35"/>
    <row r="2" spans="1:15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48" t="s">
        <v>33</v>
      </c>
      <c r="G2" s="5" t="s">
        <v>7</v>
      </c>
      <c r="H2" s="5" t="s">
        <v>8</v>
      </c>
      <c r="I2" s="9" t="s">
        <v>9</v>
      </c>
      <c r="J2" s="10" t="s">
        <v>10</v>
      </c>
      <c r="K2" s="10" t="s">
        <v>11</v>
      </c>
      <c r="L2" s="39" t="s">
        <v>3</v>
      </c>
      <c r="M2" s="11" t="s">
        <v>12</v>
      </c>
      <c r="N2" s="11" t="s">
        <v>13</v>
      </c>
    </row>
    <row r="3" spans="1:15" x14ac:dyDescent="0.3">
      <c r="A3" s="38">
        <v>46143</v>
      </c>
      <c r="B3" s="14">
        <v>0</v>
      </c>
      <c r="C3" s="14">
        <v>4650</v>
      </c>
      <c r="D3" s="14">
        <v>0</v>
      </c>
      <c r="E3" s="14">
        <f>3260+1390</f>
        <v>4650</v>
      </c>
      <c r="F3" s="49">
        <f>+E3-(E3*3.99/100)</f>
        <v>4464.4650000000001</v>
      </c>
      <c r="G3" s="15">
        <f t="shared" ref="G3:G32" si="0">SUM(D3-B3)</f>
        <v>0</v>
      </c>
      <c r="H3" s="15">
        <f t="shared" ref="H3:H32" si="1">SUM(E3-C3)</f>
        <v>0</v>
      </c>
      <c r="I3" s="16">
        <v>775</v>
      </c>
      <c r="J3" s="17">
        <v>350</v>
      </c>
      <c r="K3" s="17">
        <v>0</v>
      </c>
      <c r="L3" s="40">
        <f t="shared" ref="L3:L32" si="2">+E3+B3</f>
        <v>4650</v>
      </c>
      <c r="M3" s="25">
        <f>SUM(B3-J3)</f>
        <v>-350</v>
      </c>
      <c r="N3" s="25">
        <f>SUM(E3-K3)</f>
        <v>4650</v>
      </c>
    </row>
    <row r="4" spans="1:15" x14ac:dyDescent="0.3">
      <c r="A4" s="38">
        <f t="shared" ref="A4:A24" si="3">+A3+1</f>
        <v>46144</v>
      </c>
      <c r="B4" s="14">
        <v>1920</v>
      </c>
      <c r="C4" s="14">
        <v>1230</v>
      </c>
      <c r="D4" s="18">
        <v>0</v>
      </c>
      <c r="E4" s="18">
        <v>1230</v>
      </c>
      <c r="F4" s="49">
        <f t="shared" ref="F4:F34" si="4">+E4-(E4*3.99/100)</f>
        <v>1180.923</v>
      </c>
      <c r="G4" s="15">
        <f t="shared" si="0"/>
        <v>-1920</v>
      </c>
      <c r="H4" s="15">
        <f t="shared" si="1"/>
        <v>0</v>
      </c>
      <c r="I4" s="20">
        <v>205</v>
      </c>
      <c r="J4" s="21">
        <v>0</v>
      </c>
      <c r="K4" s="21">
        <v>0</v>
      </c>
      <c r="L4" s="40">
        <f t="shared" si="2"/>
        <v>3150</v>
      </c>
      <c r="M4" s="26">
        <f t="shared" ref="M4:M32" si="5">SUM(B4-J4)</f>
        <v>1920</v>
      </c>
      <c r="N4" s="25">
        <f t="shared" ref="N4:N32" si="6">SUM(E4-K4)</f>
        <v>1230</v>
      </c>
    </row>
    <row r="5" spans="1:15" x14ac:dyDescent="0.3">
      <c r="A5" s="38">
        <f t="shared" si="3"/>
        <v>46145</v>
      </c>
      <c r="B5" s="18">
        <v>0</v>
      </c>
      <c r="C5" s="18">
        <v>850</v>
      </c>
      <c r="D5" s="18">
        <v>0</v>
      </c>
      <c r="E5" s="18">
        <v>850</v>
      </c>
      <c r="F5" s="49">
        <f t="shared" si="4"/>
        <v>816.08500000000004</v>
      </c>
      <c r="G5" s="15">
        <f t="shared" si="0"/>
        <v>0</v>
      </c>
      <c r="H5" s="15">
        <f t="shared" si="1"/>
        <v>0</v>
      </c>
      <c r="I5" s="20">
        <v>141.66999999999999</v>
      </c>
      <c r="J5" s="21">
        <v>0</v>
      </c>
      <c r="K5" s="21">
        <v>260</v>
      </c>
      <c r="L5" s="40">
        <f t="shared" si="2"/>
        <v>850</v>
      </c>
      <c r="M5" s="26">
        <f t="shared" si="5"/>
        <v>0</v>
      </c>
      <c r="N5" s="25">
        <f t="shared" si="6"/>
        <v>590</v>
      </c>
    </row>
    <row r="6" spans="1:15" x14ac:dyDescent="0.3">
      <c r="A6" s="38">
        <f t="shared" si="3"/>
        <v>46146</v>
      </c>
      <c r="B6" s="18">
        <v>720</v>
      </c>
      <c r="C6" s="18">
        <v>1660</v>
      </c>
      <c r="D6" s="18">
        <v>0</v>
      </c>
      <c r="E6" s="18">
        <v>1660</v>
      </c>
      <c r="F6" s="49">
        <f t="shared" si="4"/>
        <v>1593.7660000000001</v>
      </c>
      <c r="G6" s="15">
        <f t="shared" si="0"/>
        <v>-720</v>
      </c>
      <c r="H6" s="15">
        <f t="shared" si="1"/>
        <v>0</v>
      </c>
      <c r="I6" s="20">
        <v>276.67</v>
      </c>
      <c r="J6" s="21">
        <v>350</v>
      </c>
      <c r="K6" s="21">
        <v>0</v>
      </c>
      <c r="L6" s="40">
        <f t="shared" si="2"/>
        <v>2380</v>
      </c>
      <c r="M6" s="26">
        <f t="shared" si="5"/>
        <v>370</v>
      </c>
      <c r="N6" s="25">
        <f t="shared" si="6"/>
        <v>1660</v>
      </c>
    </row>
    <row r="7" spans="1:15" x14ac:dyDescent="0.3">
      <c r="A7" s="38">
        <f t="shared" si="3"/>
        <v>46147</v>
      </c>
      <c r="B7" s="18">
        <v>690</v>
      </c>
      <c r="C7" s="18">
        <v>3930</v>
      </c>
      <c r="D7" s="18">
        <v>0</v>
      </c>
      <c r="E7" s="18">
        <v>3930</v>
      </c>
      <c r="F7" s="49">
        <f t="shared" si="4"/>
        <v>3773.1930000000002</v>
      </c>
      <c r="G7" s="15">
        <f t="shared" si="0"/>
        <v>-690</v>
      </c>
      <c r="H7" s="15">
        <f t="shared" si="1"/>
        <v>0</v>
      </c>
      <c r="I7" s="20">
        <v>655.01</v>
      </c>
      <c r="J7" s="21">
        <v>200</v>
      </c>
      <c r="K7" s="21">
        <v>1510</v>
      </c>
      <c r="L7" s="40">
        <f t="shared" si="2"/>
        <v>4620</v>
      </c>
      <c r="M7" s="26">
        <f t="shared" si="5"/>
        <v>490</v>
      </c>
      <c r="N7" s="25">
        <f t="shared" si="6"/>
        <v>2420</v>
      </c>
    </row>
    <row r="8" spans="1:15" x14ac:dyDescent="0.3">
      <c r="A8" s="38">
        <f t="shared" si="3"/>
        <v>46148</v>
      </c>
      <c r="B8" s="18">
        <v>1800</v>
      </c>
      <c r="C8" s="18">
        <v>3720</v>
      </c>
      <c r="D8" s="18">
        <v>0</v>
      </c>
      <c r="E8" s="18">
        <v>3720</v>
      </c>
      <c r="F8" s="49">
        <f t="shared" si="4"/>
        <v>3571.5720000000001</v>
      </c>
      <c r="G8" s="15">
        <f t="shared" si="0"/>
        <v>-1800</v>
      </c>
      <c r="H8" s="15">
        <f t="shared" si="1"/>
        <v>0</v>
      </c>
      <c r="I8" s="20">
        <v>619.98</v>
      </c>
      <c r="J8" s="21">
        <v>450</v>
      </c>
      <c r="K8" s="21">
        <v>0</v>
      </c>
      <c r="L8" s="40">
        <f t="shared" si="2"/>
        <v>5520</v>
      </c>
      <c r="M8" s="26">
        <v>0</v>
      </c>
      <c r="N8" s="25">
        <f t="shared" si="6"/>
        <v>3720</v>
      </c>
    </row>
    <row r="9" spans="1:15" x14ac:dyDescent="0.3">
      <c r="A9" s="38">
        <f t="shared" si="3"/>
        <v>46149</v>
      </c>
      <c r="B9" s="18">
        <v>500</v>
      </c>
      <c r="C9" s="18">
        <v>970</v>
      </c>
      <c r="D9" s="18">
        <v>0</v>
      </c>
      <c r="E9" s="18">
        <v>970</v>
      </c>
      <c r="F9" s="49">
        <f t="shared" si="4"/>
        <v>931.29700000000003</v>
      </c>
      <c r="G9" s="15">
        <f t="shared" si="0"/>
        <v>-500</v>
      </c>
      <c r="H9" s="15">
        <f t="shared" si="1"/>
        <v>0</v>
      </c>
      <c r="I9" s="20">
        <v>161.66999999999999</v>
      </c>
      <c r="J9" s="21">
        <v>720</v>
      </c>
      <c r="K9" s="21">
        <v>0</v>
      </c>
      <c r="L9" s="40">
        <f t="shared" si="2"/>
        <v>1470</v>
      </c>
      <c r="M9" s="26">
        <f t="shared" si="5"/>
        <v>-220</v>
      </c>
      <c r="N9" s="25">
        <f t="shared" si="6"/>
        <v>970</v>
      </c>
    </row>
    <row r="10" spans="1:15" x14ac:dyDescent="0.3">
      <c r="A10" s="38">
        <f t="shared" si="3"/>
        <v>46150</v>
      </c>
      <c r="B10" s="18">
        <v>1450</v>
      </c>
      <c r="C10" s="18">
        <v>4550</v>
      </c>
      <c r="D10" s="18">
        <v>0</v>
      </c>
      <c r="E10" s="18">
        <v>4550</v>
      </c>
      <c r="F10" s="49">
        <f t="shared" si="4"/>
        <v>4368.4549999999999</v>
      </c>
      <c r="G10" s="15">
        <f t="shared" si="0"/>
        <v>-1450</v>
      </c>
      <c r="H10" s="15">
        <f t="shared" si="1"/>
        <v>0</v>
      </c>
      <c r="I10" s="20">
        <v>666.67</v>
      </c>
      <c r="J10" s="21">
        <v>170</v>
      </c>
      <c r="K10" s="21">
        <v>0</v>
      </c>
      <c r="L10" s="40">
        <f t="shared" si="2"/>
        <v>6000</v>
      </c>
      <c r="M10" s="26">
        <f t="shared" si="5"/>
        <v>1280</v>
      </c>
      <c r="N10" s="25">
        <f t="shared" si="6"/>
        <v>4550</v>
      </c>
    </row>
    <row r="11" spans="1:15" x14ac:dyDescent="0.3">
      <c r="A11" s="38">
        <f t="shared" si="3"/>
        <v>46151</v>
      </c>
      <c r="B11" s="18">
        <v>1250</v>
      </c>
      <c r="C11" s="18">
        <v>6550</v>
      </c>
      <c r="D11" s="18">
        <v>0</v>
      </c>
      <c r="E11" s="18">
        <v>6550</v>
      </c>
      <c r="F11" s="49">
        <f t="shared" si="4"/>
        <v>6288.6549999999997</v>
      </c>
      <c r="G11" s="15">
        <f t="shared" si="0"/>
        <v>-1250</v>
      </c>
      <c r="H11" s="15">
        <f t="shared" si="1"/>
        <v>0</v>
      </c>
      <c r="I11" s="20">
        <v>1091.6600000000001</v>
      </c>
      <c r="J11" s="21">
        <v>6800</v>
      </c>
      <c r="K11" s="21">
        <v>32185</v>
      </c>
      <c r="L11" s="40">
        <f t="shared" si="2"/>
        <v>7800</v>
      </c>
      <c r="M11" s="26">
        <f t="shared" si="5"/>
        <v>-5550</v>
      </c>
      <c r="N11" s="25">
        <f t="shared" si="6"/>
        <v>-25635</v>
      </c>
    </row>
    <row r="12" spans="1:15" x14ac:dyDescent="0.3">
      <c r="A12" s="38">
        <f t="shared" si="3"/>
        <v>46152</v>
      </c>
      <c r="B12" s="18">
        <v>600</v>
      </c>
      <c r="C12" s="18">
        <v>5120</v>
      </c>
      <c r="D12" s="18">
        <v>0</v>
      </c>
      <c r="E12" s="18">
        <v>5120</v>
      </c>
      <c r="F12" s="49">
        <f t="shared" si="4"/>
        <v>4915.7119999999995</v>
      </c>
      <c r="G12" s="15">
        <f t="shared" si="0"/>
        <v>-600</v>
      </c>
      <c r="H12" s="15">
        <f t="shared" si="1"/>
        <v>0</v>
      </c>
      <c r="I12" s="20">
        <v>853.33</v>
      </c>
      <c r="J12" s="21">
        <v>0</v>
      </c>
      <c r="K12" s="21">
        <v>0</v>
      </c>
      <c r="L12" s="40">
        <f t="shared" si="2"/>
        <v>5720</v>
      </c>
      <c r="M12" s="26">
        <f t="shared" si="5"/>
        <v>600</v>
      </c>
      <c r="N12" s="25">
        <f t="shared" si="6"/>
        <v>5120</v>
      </c>
      <c r="O12" t="s">
        <v>17</v>
      </c>
    </row>
    <row r="13" spans="1:15" x14ac:dyDescent="0.3">
      <c r="A13" s="38">
        <f t="shared" si="3"/>
        <v>46153</v>
      </c>
      <c r="B13" s="18">
        <v>800</v>
      </c>
      <c r="C13" s="18">
        <v>2785</v>
      </c>
      <c r="D13" s="18">
        <v>0</v>
      </c>
      <c r="E13" s="18">
        <v>2785</v>
      </c>
      <c r="F13" s="49">
        <f t="shared" si="4"/>
        <v>2673.8784999999998</v>
      </c>
      <c r="G13" s="15">
        <f t="shared" si="0"/>
        <v>-800</v>
      </c>
      <c r="H13" s="15">
        <f t="shared" si="1"/>
        <v>0</v>
      </c>
      <c r="I13" s="20">
        <v>464.16</v>
      </c>
      <c r="J13" s="21">
        <v>12350</v>
      </c>
      <c r="K13" s="21">
        <v>1500</v>
      </c>
      <c r="L13" s="40">
        <f t="shared" si="2"/>
        <v>3585</v>
      </c>
      <c r="M13" s="26">
        <f t="shared" si="5"/>
        <v>-11550</v>
      </c>
      <c r="N13" s="25">
        <f t="shared" si="6"/>
        <v>1285</v>
      </c>
    </row>
    <row r="14" spans="1:15" x14ac:dyDescent="0.3">
      <c r="A14" s="38">
        <f t="shared" si="3"/>
        <v>46154</v>
      </c>
      <c r="B14" s="18">
        <v>100</v>
      </c>
      <c r="C14" s="18">
        <v>1720</v>
      </c>
      <c r="D14" s="18">
        <v>0</v>
      </c>
      <c r="E14" s="18">
        <v>1720</v>
      </c>
      <c r="F14" s="49">
        <f t="shared" si="4"/>
        <v>1651.3720000000001</v>
      </c>
      <c r="G14" s="15">
        <f t="shared" si="0"/>
        <v>-100</v>
      </c>
      <c r="H14" s="15">
        <f t="shared" si="1"/>
        <v>0</v>
      </c>
      <c r="I14" s="20">
        <v>286.67</v>
      </c>
      <c r="J14" s="21">
        <v>0</v>
      </c>
      <c r="K14" s="21">
        <v>3090</v>
      </c>
      <c r="L14" s="40">
        <f t="shared" si="2"/>
        <v>1820</v>
      </c>
      <c r="M14" s="26">
        <f t="shared" si="5"/>
        <v>100</v>
      </c>
      <c r="N14" s="25">
        <f t="shared" si="6"/>
        <v>-1370</v>
      </c>
    </row>
    <row r="15" spans="1:15" x14ac:dyDescent="0.3">
      <c r="A15" s="38">
        <f t="shared" si="3"/>
        <v>46155</v>
      </c>
      <c r="B15" s="18">
        <v>2060</v>
      </c>
      <c r="C15" s="18">
        <v>3550</v>
      </c>
      <c r="D15" s="18">
        <v>0</v>
      </c>
      <c r="E15" s="18">
        <v>3550</v>
      </c>
      <c r="F15" s="49">
        <f t="shared" si="4"/>
        <v>3408.355</v>
      </c>
      <c r="G15" s="15">
        <f t="shared" si="0"/>
        <v>-2060</v>
      </c>
      <c r="H15" s="15">
        <f t="shared" si="1"/>
        <v>0</v>
      </c>
      <c r="I15" s="20">
        <v>591.66999999999996</v>
      </c>
      <c r="J15" s="21">
        <v>340</v>
      </c>
      <c r="K15" s="21">
        <v>0</v>
      </c>
      <c r="L15" s="40">
        <f t="shared" si="2"/>
        <v>5610</v>
      </c>
      <c r="M15" s="26">
        <f t="shared" si="5"/>
        <v>1720</v>
      </c>
      <c r="N15" s="25">
        <f t="shared" si="6"/>
        <v>3550</v>
      </c>
    </row>
    <row r="16" spans="1:15" x14ac:dyDescent="0.3">
      <c r="A16" s="38">
        <f t="shared" si="3"/>
        <v>46156</v>
      </c>
      <c r="B16" s="18">
        <v>4100</v>
      </c>
      <c r="C16" s="18">
        <v>5313</v>
      </c>
      <c r="D16" s="18">
        <v>0</v>
      </c>
      <c r="E16" s="18">
        <v>5313</v>
      </c>
      <c r="F16" s="49">
        <f t="shared" si="4"/>
        <v>5101.0113000000001</v>
      </c>
      <c r="G16" s="15">
        <f t="shared" si="0"/>
        <v>-4100</v>
      </c>
      <c r="H16" s="15">
        <f t="shared" si="1"/>
        <v>0</v>
      </c>
      <c r="I16" s="20">
        <v>885.49</v>
      </c>
      <c r="J16" s="21">
        <v>0</v>
      </c>
      <c r="K16" s="21">
        <v>0</v>
      </c>
      <c r="L16" s="40">
        <f t="shared" si="2"/>
        <v>9413</v>
      </c>
      <c r="M16" s="26">
        <f t="shared" si="5"/>
        <v>4100</v>
      </c>
      <c r="N16" s="25">
        <f t="shared" si="6"/>
        <v>5313</v>
      </c>
    </row>
    <row r="17" spans="1:18" x14ac:dyDescent="0.3">
      <c r="A17" s="38">
        <f t="shared" si="3"/>
        <v>46157</v>
      </c>
      <c r="B17" s="18">
        <v>4770</v>
      </c>
      <c r="C17" s="18">
        <f>4920+1260</f>
        <v>6180</v>
      </c>
      <c r="D17" s="18">
        <v>0</v>
      </c>
      <c r="E17" s="18">
        <v>6180</v>
      </c>
      <c r="F17" s="49">
        <f t="shared" si="4"/>
        <v>5933.4179999999997</v>
      </c>
      <c r="G17" s="15">
        <f t="shared" si="0"/>
        <v>-4770</v>
      </c>
      <c r="H17" s="15">
        <f t="shared" si="1"/>
        <v>0</v>
      </c>
      <c r="I17" s="20">
        <v>1029.97</v>
      </c>
      <c r="J17" s="21">
        <v>0</v>
      </c>
      <c r="K17" s="21">
        <v>0</v>
      </c>
      <c r="L17" s="40">
        <f t="shared" si="2"/>
        <v>10950</v>
      </c>
      <c r="M17" s="26">
        <f t="shared" si="5"/>
        <v>4770</v>
      </c>
      <c r="N17" s="25">
        <f t="shared" si="6"/>
        <v>6180</v>
      </c>
    </row>
    <row r="18" spans="1:18" x14ac:dyDescent="0.3">
      <c r="A18" s="38">
        <f t="shared" si="3"/>
        <v>46158</v>
      </c>
      <c r="B18" s="18">
        <v>5150</v>
      </c>
      <c r="C18" s="18">
        <v>8050</v>
      </c>
      <c r="D18" s="18">
        <v>0</v>
      </c>
      <c r="E18" s="18">
        <v>8050</v>
      </c>
      <c r="F18" s="49">
        <f t="shared" si="4"/>
        <v>7728.8050000000003</v>
      </c>
      <c r="G18" s="15">
        <f t="shared" si="0"/>
        <v>-5150</v>
      </c>
      <c r="H18" s="15">
        <f t="shared" si="1"/>
        <v>0</v>
      </c>
      <c r="I18" s="20">
        <v>1341.66</v>
      </c>
      <c r="J18" s="21">
        <v>0</v>
      </c>
      <c r="K18" s="21">
        <v>0</v>
      </c>
      <c r="L18" s="40">
        <f t="shared" si="2"/>
        <v>13200</v>
      </c>
      <c r="M18" s="26">
        <f t="shared" si="5"/>
        <v>5150</v>
      </c>
      <c r="N18" s="25">
        <f t="shared" si="6"/>
        <v>8050</v>
      </c>
    </row>
    <row r="19" spans="1:18" x14ac:dyDescent="0.3">
      <c r="A19" s="38">
        <f t="shared" si="3"/>
        <v>46159</v>
      </c>
      <c r="B19" s="18">
        <v>400</v>
      </c>
      <c r="C19" s="18">
        <v>3310</v>
      </c>
      <c r="D19" s="18">
        <v>0</v>
      </c>
      <c r="E19" s="18">
        <v>3310</v>
      </c>
      <c r="F19" s="49">
        <f t="shared" si="4"/>
        <v>3177.931</v>
      </c>
      <c r="G19" s="15">
        <f t="shared" si="0"/>
        <v>-400</v>
      </c>
      <c r="H19" s="15">
        <f t="shared" si="1"/>
        <v>0</v>
      </c>
      <c r="I19" s="20">
        <v>551.66999999999996</v>
      </c>
      <c r="J19" s="21">
        <v>0</v>
      </c>
      <c r="K19" s="21">
        <v>1125</v>
      </c>
      <c r="L19" s="40">
        <f t="shared" si="2"/>
        <v>3710</v>
      </c>
      <c r="M19" s="26">
        <f t="shared" si="5"/>
        <v>400</v>
      </c>
      <c r="N19" s="25">
        <f t="shared" si="6"/>
        <v>2185</v>
      </c>
    </row>
    <row r="20" spans="1:18" x14ac:dyDescent="0.3">
      <c r="A20" s="38">
        <f t="shared" si="3"/>
        <v>46160</v>
      </c>
      <c r="B20" s="18">
        <v>600</v>
      </c>
      <c r="C20" s="18">
        <v>2440</v>
      </c>
      <c r="D20" s="18">
        <v>0</v>
      </c>
      <c r="E20" s="18">
        <v>2440</v>
      </c>
      <c r="F20" s="49">
        <f t="shared" si="4"/>
        <v>2342.6439999999998</v>
      </c>
      <c r="G20" s="15">
        <f t="shared" si="0"/>
        <v>-600</v>
      </c>
      <c r="H20" s="15">
        <f t="shared" si="1"/>
        <v>0</v>
      </c>
      <c r="I20" s="20">
        <v>406.67</v>
      </c>
      <c r="J20" s="21">
        <v>350</v>
      </c>
      <c r="K20" s="21">
        <v>2008</v>
      </c>
      <c r="L20" s="40">
        <f t="shared" si="2"/>
        <v>3040</v>
      </c>
      <c r="M20" s="26">
        <f t="shared" si="5"/>
        <v>250</v>
      </c>
      <c r="N20" s="25">
        <f t="shared" si="6"/>
        <v>432</v>
      </c>
    </row>
    <row r="21" spans="1:18" x14ac:dyDescent="0.3">
      <c r="A21" s="38">
        <f t="shared" si="3"/>
        <v>46161</v>
      </c>
      <c r="B21" s="18">
        <v>400</v>
      </c>
      <c r="C21" s="18">
        <v>1750</v>
      </c>
      <c r="D21" s="18">
        <v>0</v>
      </c>
      <c r="E21" s="18">
        <v>1750</v>
      </c>
      <c r="F21" s="49">
        <f t="shared" si="4"/>
        <v>1680.175</v>
      </c>
      <c r="G21" s="15">
        <f t="shared" si="0"/>
        <v>-400</v>
      </c>
      <c r="H21" s="15">
        <f t="shared" si="1"/>
        <v>0</v>
      </c>
      <c r="I21" s="20">
        <v>291.66000000000003</v>
      </c>
      <c r="J21" s="21">
        <v>550</v>
      </c>
      <c r="K21" s="21">
        <v>2220</v>
      </c>
      <c r="L21" s="40">
        <f t="shared" si="2"/>
        <v>2150</v>
      </c>
      <c r="M21" s="26">
        <f t="shared" si="5"/>
        <v>-150</v>
      </c>
      <c r="N21" s="25">
        <f t="shared" si="6"/>
        <v>-470</v>
      </c>
      <c r="R21">
        <v>5</v>
      </c>
    </row>
    <row r="22" spans="1:18" x14ac:dyDescent="0.3">
      <c r="A22" s="38">
        <f t="shared" si="3"/>
        <v>46162</v>
      </c>
      <c r="B22" s="18">
        <v>550</v>
      </c>
      <c r="C22" s="18">
        <v>3400</v>
      </c>
      <c r="D22" s="18">
        <v>0</v>
      </c>
      <c r="E22" s="18">
        <v>3400</v>
      </c>
      <c r="F22" s="49">
        <f t="shared" si="4"/>
        <v>3264.34</v>
      </c>
      <c r="G22" s="15">
        <f t="shared" si="0"/>
        <v>-550</v>
      </c>
      <c r="H22" s="15">
        <f t="shared" si="1"/>
        <v>0</v>
      </c>
      <c r="I22" s="20">
        <v>566.66</v>
      </c>
      <c r="J22" s="21">
        <v>0</v>
      </c>
      <c r="K22" s="21">
        <v>1505</v>
      </c>
      <c r="L22" s="40">
        <f t="shared" si="2"/>
        <v>3950</v>
      </c>
      <c r="M22" s="26">
        <f t="shared" si="5"/>
        <v>550</v>
      </c>
      <c r="N22" s="25">
        <f t="shared" si="6"/>
        <v>1895</v>
      </c>
    </row>
    <row r="23" spans="1:18" x14ac:dyDescent="0.3">
      <c r="A23" s="38">
        <f t="shared" si="3"/>
        <v>46163</v>
      </c>
      <c r="B23" s="18">
        <v>850</v>
      </c>
      <c r="C23" s="18">
        <v>4420</v>
      </c>
      <c r="D23" s="18">
        <v>0</v>
      </c>
      <c r="E23" s="18">
        <v>4420</v>
      </c>
      <c r="F23" s="49">
        <f t="shared" si="4"/>
        <v>4243.6419999999998</v>
      </c>
      <c r="G23" s="15">
        <f t="shared" si="0"/>
        <v>-850</v>
      </c>
      <c r="H23" s="15">
        <f t="shared" si="1"/>
        <v>0</v>
      </c>
      <c r="I23" s="20">
        <v>767.5</v>
      </c>
      <c r="J23" s="21">
        <v>50</v>
      </c>
      <c r="K23" s="21">
        <v>3100</v>
      </c>
      <c r="L23" s="40">
        <f t="shared" si="2"/>
        <v>5270</v>
      </c>
      <c r="M23" s="26">
        <f t="shared" si="5"/>
        <v>800</v>
      </c>
      <c r="N23" s="25">
        <f t="shared" si="6"/>
        <v>1320</v>
      </c>
    </row>
    <row r="24" spans="1:18" x14ac:dyDescent="0.3">
      <c r="A24" s="38">
        <f t="shared" si="3"/>
        <v>46164</v>
      </c>
      <c r="B24" s="18">
        <v>2100</v>
      </c>
      <c r="C24" s="18">
        <v>2210</v>
      </c>
      <c r="D24" s="18">
        <v>0</v>
      </c>
      <c r="E24" s="18">
        <v>2210</v>
      </c>
      <c r="F24" s="49">
        <f t="shared" si="4"/>
        <v>2121.8209999999999</v>
      </c>
      <c r="G24" s="15">
        <f t="shared" si="0"/>
        <v>-2100</v>
      </c>
      <c r="H24" s="15">
        <f t="shared" si="1"/>
        <v>0</v>
      </c>
      <c r="I24" s="20">
        <v>393.34</v>
      </c>
      <c r="J24" s="21">
        <v>250</v>
      </c>
      <c r="K24" s="21">
        <v>0</v>
      </c>
      <c r="L24" s="40">
        <f t="shared" si="2"/>
        <v>4310</v>
      </c>
      <c r="M24" s="26">
        <f t="shared" si="5"/>
        <v>1850</v>
      </c>
      <c r="N24" s="25">
        <f t="shared" si="6"/>
        <v>2210</v>
      </c>
    </row>
    <row r="25" spans="1:18" x14ac:dyDescent="0.3">
      <c r="A25" s="38" t="s">
        <v>35</v>
      </c>
      <c r="B25" s="18">
        <v>620</v>
      </c>
      <c r="C25" s="18">
        <v>2030</v>
      </c>
      <c r="D25" s="18">
        <v>0</v>
      </c>
      <c r="E25" s="18">
        <v>2030</v>
      </c>
      <c r="F25" s="49">
        <f t="shared" si="4"/>
        <v>1949.0029999999999</v>
      </c>
      <c r="G25" s="15">
        <f t="shared" si="0"/>
        <v>-620</v>
      </c>
      <c r="H25" s="15">
        <f t="shared" si="1"/>
        <v>0</v>
      </c>
      <c r="I25" s="20">
        <v>338.32</v>
      </c>
      <c r="J25" s="21">
        <v>0</v>
      </c>
      <c r="K25" s="21">
        <v>0</v>
      </c>
      <c r="L25" s="40">
        <f t="shared" si="2"/>
        <v>2650</v>
      </c>
      <c r="M25" s="26">
        <f t="shared" si="5"/>
        <v>620</v>
      </c>
      <c r="N25" s="25">
        <f t="shared" si="6"/>
        <v>2030</v>
      </c>
      <c r="O25" t="s">
        <v>18</v>
      </c>
    </row>
    <row r="26" spans="1:18" x14ac:dyDescent="0.3">
      <c r="A26" s="38" t="s">
        <v>36</v>
      </c>
      <c r="B26" s="18">
        <v>0</v>
      </c>
      <c r="C26" s="18">
        <v>2880</v>
      </c>
      <c r="D26" s="18">
        <v>0</v>
      </c>
      <c r="E26" s="18">
        <v>2880</v>
      </c>
      <c r="F26" s="49">
        <f t="shared" si="4"/>
        <v>2765.0880000000002</v>
      </c>
      <c r="G26" s="15">
        <f t="shared" si="0"/>
        <v>0</v>
      </c>
      <c r="H26" s="15">
        <f t="shared" si="1"/>
        <v>0</v>
      </c>
      <c r="I26" s="20">
        <v>480</v>
      </c>
      <c r="J26" s="21">
        <v>19150</v>
      </c>
      <c r="K26" s="21">
        <v>32700</v>
      </c>
      <c r="L26" s="40">
        <f t="shared" si="2"/>
        <v>2880</v>
      </c>
      <c r="M26" s="26">
        <f t="shared" si="5"/>
        <v>-19150</v>
      </c>
      <c r="N26" s="25">
        <f t="shared" si="6"/>
        <v>-29820</v>
      </c>
    </row>
    <row r="27" spans="1:18" x14ac:dyDescent="0.3">
      <c r="A27" s="38" t="s">
        <v>37</v>
      </c>
      <c r="B27" s="18">
        <v>500</v>
      </c>
      <c r="C27" s="18">
        <v>4540</v>
      </c>
      <c r="D27" s="18">
        <v>0</v>
      </c>
      <c r="E27" s="18">
        <v>4540</v>
      </c>
      <c r="F27" s="49">
        <f t="shared" si="4"/>
        <v>4358.8540000000003</v>
      </c>
      <c r="G27" s="15">
        <f t="shared" si="0"/>
        <v>-500</v>
      </c>
      <c r="H27" s="15">
        <f t="shared" si="1"/>
        <v>0</v>
      </c>
      <c r="I27" s="20">
        <v>473.33</v>
      </c>
      <c r="J27" s="21">
        <v>0</v>
      </c>
      <c r="K27" s="21">
        <v>0</v>
      </c>
      <c r="L27" s="40">
        <f t="shared" si="2"/>
        <v>5040</v>
      </c>
      <c r="M27" s="26">
        <f t="shared" si="5"/>
        <v>500</v>
      </c>
      <c r="N27" s="25">
        <f t="shared" si="6"/>
        <v>4540</v>
      </c>
    </row>
    <row r="28" spans="1:18" x14ac:dyDescent="0.3">
      <c r="A28" s="38" t="s">
        <v>38</v>
      </c>
      <c r="B28" s="18">
        <v>300</v>
      </c>
      <c r="C28" s="18">
        <v>5180</v>
      </c>
      <c r="D28" s="18">
        <v>0</v>
      </c>
      <c r="E28" s="18">
        <v>6730</v>
      </c>
      <c r="F28" s="49">
        <f t="shared" si="4"/>
        <v>6461.473</v>
      </c>
      <c r="G28" s="15">
        <f t="shared" si="0"/>
        <v>-300</v>
      </c>
      <c r="H28" s="15">
        <f t="shared" si="1"/>
        <v>1550</v>
      </c>
      <c r="I28" s="20">
        <v>863.33</v>
      </c>
      <c r="J28" s="21">
        <v>0</v>
      </c>
      <c r="K28" s="21">
        <v>0</v>
      </c>
      <c r="L28" s="40">
        <f t="shared" si="2"/>
        <v>7030</v>
      </c>
      <c r="M28" s="26">
        <f t="shared" si="5"/>
        <v>300</v>
      </c>
      <c r="N28" s="25">
        <f t="shared" si="6"/>
        <v>6730</v>
      </c>
    </row>
    <row r="29" spans="1:18" x14ac:dyDescent="0.3">
      <c r="A29" s="38" t="s">
        <v>39</v>
      </c>
      <c r="B29" s="18">
        <v>0</v>
      </c>
      <c r="C29" s="18">
        <v>0</v>
      </c>
      <c r="D29" s="18">
        <v>0</v>
      </c>
      <c r="E29" s="18">
        <v>0</v>
      </c>
      <c r="F29" s="49">
        <f t="shared" si="4"/>
        <v>0</v>
      </c>
      <c r="G29" s="15">
        <f t="shared" si="0"/>
        <v>0</v>
      </c>
      <c r="H29" s="15">
        <f t="shared" si="1"/>
        <v>0</v>
      </c>
      <c r="I29" s="20">
        <v>0</v>
      </c>
      <c r="J29" s="21">
        <v>200</v>
      </c>
      <c r="K29" s="21">
        <v>0</v>
      </c>
      <c r="L29" s="40">
        <f t="shared" si="2"/>
        <v>0</v>
      </c>
      <c r="M29" s="26">
        <f t="shared" si="5"/>
        <v>-200</v>
      </c>
      <c r="N29" s="25">
        <f t="shared" si="6"/>
        <v>0</v>
      </c>
    </row>
    <row r="30" spans="1:18" x14ac:dyDescent="0.3">
      <c r="A30" s="38" t="s">
        <v>40</v>
      </c>
      <c r="B30" s="18">
        <v>0</v>
      </c>
      <c r="C30" s="18">
        <v>0</v>
      </c>
      <c r="D30" s="18">
        <v>0</v>
      </c>
      <c r="E30" s="18">
        <v>0</v>
      </c>
      <c r="F30" s="49">
        <f t="shared" si="4"/>
        <v>0</v>
      </c>
      <c r="G30" s="15">
        <f t="shared" si="0"/>
        <v>0</v>
      </c>
      <c r="H30" s="15">
        <f t="shared" si="1"/>
        <v>0</v>
      </c>
      <c r="I30" s="20">
        <v>0</v>
      </c>
      <c r="J30" s="21">
        <v>0</v>
      </c>
      <c r="K30" s="21">
        <v>4000</v>
      </c>
      <c r="L30" s="40">
        <f t="shared" si="2"/>
        <v>0</v>
      </c>
      <c r="M30" s="26">
        <f t="shared" si="5"/>
        <v>0</v>
      </c>
      <c r="N30" s="25">
        <f t="shared" si="6"/>
        <v>-4000</v>
      </c>
    </row>
    <row r="31" spans="1:18" x14ac:dyDescent="0.3">
      <c r="A31" s="38" t="s">
        <v>41</v>
      </c>
      <c r="B31" s="18">
        <v>600</v>
      </c>
      <c r="C31" s="18">
        <v>750</v>
      </c>
      <c r="D31" s="18">
        <v>0</v>
      </c>
      <c r="E31" s="18">
        <v>750</v>
      </c>
      <c r="F31" s="49">
        <f t="shared" si="4"/>
        <v>720.07500000000005</v>
      </c>
      <c r="G31" s="15">
        <f t="shared" si="0"/>
        <v>-600</v>
      </c>
      <c r="H31" s="15">
        <f t="shared" si="1"/>
        <v>0</v>
      </c>
      <c r="I31" s="20">
        <v>125</v>
      </c>
      <c r="J31" s="21">
        <v>0</v>
      </c>
      <c r="K31" s="21">
        <v>0</v>
      </c>
      <c r="L31" s="40">
        <f t="shared" si="2"/>
        <v>1350</v>
      </c>
      <c r="M31" s="26">
        <f t="shared" si="5"/>
        <v>600</v>
      </c>
      <c r="N31" s="25">
        <f t="shared" si="6"/>
        <v>750</v>
      </c>
    </row>
    <row r="32" spans="1:18" x14ac:dyDescent="0.3">
      <c r="A32" s="38" t="s">
        <v>42</v>
      </c>
      <c r="B32" s="18">
        <v>1100</v>
      </c>
      <c r="C32" s="18">
        <v>2850</v>
      </c>
      <c r="D32" s="18">
        <v>0</v>
      </c>
      <c r="E32" s="18">
        <v>2850</v>
      </c>
      <c r="F32" s="49">
        <f t="shared" si="4"/>
        <v>2736.2849999999999</v>
      </c>
      <c r="G32" s="15">
        <f t="shared" si="0"/>
        <v>-1100</v>
      </c>
      <c r="H32" s="15">
        <f t="shared" si="1"/>
        <v>0</v>
      </c>
      <c r="I32" s="20"/>
      <c r="J32" s="21">
        <v>550</v>
      </c>
      <c r="K32" s="21">
        <v>0</v>
      </c>
      <c r="L32" s="40">
        <f t="shared" si="2"/>
        <v>3950</v>
      </c>
      <c r="M32" s="26">
        <f t="shared" si="5"/>
        <v>550</v>
      </c>
      <c r="N32" s="25">
        <f t="shared" si="6"/>
        <v>2850</v>
      </c>
    </row>
    <row r="33" spans="1:15" x14ac:dyDescent="0.3">
      <c r="A33" s="38" t="s">
        <v>43</v>
      </c>
      <c r="B33" s="18">
        <v>620</v>
      </c>
      <c r="C33" s="18">
        <v>200</v>
      </c>
      <c r="D33" s="18">
        <v>0</v>
      </c>
      <c r="E33" s="18">
        <v>200</v>
      </c>
      <c r="F33" s="49">
        <f t="shared" si="4"/>
        <v>192.02</v>
      </c>
      <c r="G33" s="15">
        <f>SUM(D33-B33)</f>
        <v>-620</v>
      </c>
      <c r="H33" s="15">
        <f>SUM(E33-C33)</f>
        <v>0</v>
      </c>
      <c r="I33" s="20">
        <v>33.33</v>
      </c>
      <c r="J33" s="21">
        <v>0</v>
      </c>
      <c r="K33" s="21">
        <v>0</v>
      </c>
      <c r="L33" s="40">
        <f>+E33+B33</f>
        <v>820</v>
      </c>
      <c r="M33" s="26">
        <f>SUM(B33-J33)</f>
        <v>620</v>
      </c>
      <c r="N33" s="25">
        <f>SUM(E33-K33)</f>
        <v>200</v>
      </c>
    </row>
    <row r="34" spans="1:15" s="8" customFormat="1" ht="27.6" customHeight="1" x14ac:dyDescent="0.35">
      <c r="A34" s="24" t="s">
        <v>4</v>
      </c>
      <c r="B34" s="24">
        <f>SUM(B3:B33)</f>
        <v>34550</v>
      </c>
      <c r="C34" s="24">
        <f>SUM(C3:C33)</f>
        <v>96788</v>
      </c>
      <c r="D34" s="24">
        <f>SUM(D3:D33)</f>
        <v>0</v>
      </c>
      <c r="E34" s="24">
        <f>SUM(E3:E33)</f>
        <v>98338</v>
      </c>
      <c r="F34" s="49">
        <f t="shared" si="4"/>
        <v>94414.313800000004</v>
      </c>
      <c r="G34" s="15">
        <f t="shared" ref="G34:N34" si="7">SUM(G3:G32)</f>
        <v>-33930</v>
      </c>
      <c r="H34" s="23">
        <f t="shared" si="7"/>
        <v>1550</v>
      </c>
      <c r="I34" s="24">
        <f>SUM(I3:I33)</f>
        <v>15337.09</v>
      </c>
      <c r="J34" s="24">
        <f>SUM(J3:J33)</f>
        <v>42830</v>
      </c>
      <c r="K34" s="24">
        <f>SUM(K3:K33)</f>
        <v>85203</v>
      </c>
      <c r="L34" s="47">
        <f t="shared" si="7"/>
        <v>132068</v>
      </c>
      <c r="M34" s="27">
        <f t="shared" si="7"/>
        <v>-10250</v>
      </c>
      <c r="N34" s="27">
        <f t="shared" si="7"/>
        <v>12935</v>
      </c>
      <c r="O34" s="13"/>
    </row>
    <row r="35" spans="1:15" x14ac:dyDescent="0.3">
      <c r="E35" s="43" t="s">
        <v>34</v>
      </c>
      <c r="F35" s="50">
        <f>+E34-F34</f>
        <v>3923.6861999999965</v>
      </c>
      <c r="L35" s="37">
        <f>AVERAGE(L3:L32)</f>
        <v>4402.2666666666664</v>
      </c>
    </row>
    <row r="37" spans="1:15" ht="18" x14ac:dyDescent="0.3">
      <c r="H37" s="51" t="s">
        <v>14</v>
      </c>
      <c r="I37" s="51"/>
      <c r="J37" s="12">
        <f>SUM(L3:L32)</f>
        <v>132068</v>
      </c>
    </row>
    <row r="38" spans="1:15" ht="11.4" customHeight="1" x14ac:dyDescent="0.3">
      <c r="H38" s="51" t="s">
        <v>16</v>
      </c>
      <c r="I38" s="51"/>
      <c r="J38" s="12">
        <f>SUM(+J34+K34)</f>
        <v>128033</v>
      </c>
    </row>
    <row r="39" spans="1:15" ht="18" x14ac:dyDescent="0.3">
      <c r="H39" s="51" t="s">
        <v>15</v>
      </c>
      <c r="I39" s="51"/>
      <c r="J39" s="12">
        <f>SUM(M34+N34)</f>
        <v>2685</v>
      </c>
    </row>
  </sheetData>
  <mergeCells count="3">
    <mergeCell ref="H37:I37"/>
    <mergeCell ref="H38:I38"/>
    <mergeCell ref="H39:I39"/>
  </mergeCells>
  <phoneticPr fontId="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topLeftCell="A22" zoomScale="96" zoomScaleNormal="96" workbookViewId="0">
      <selection activeCell="F33" sqref="F33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5" customWidth="1"/>
    <col min="7" max="7" width="14.88671875" style="1" customWidth="1"/>
    <col min="8" max="8" width="15.6640625" bestFit="1" customWidth="1"/>
    <col min="9" max="11" width="14.88671875" customWidth="1"/>
    <col min="12" max="12" width="14.6640625" style="29" bestFit="1" customWidth="1"/>
    <col min="13" max="13" width="13.33203125" bestFit="1" customWidth="1"/>
    <col min="14" max="15" width="14.6640625" bestFit="1" customWidth="1"/>
  </cols>
  <sheetData>
    <row r="1" spans="1:15" ht="16.2" hidden="1" thickBot="1" x14ac:dyDescent="0.35"/>
    <row r="2" spans="1:15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48" t="s">
        <v>33</v>
      </c>
      <c r="G2" s="5" t="s">
        <v>7</v>
      </c>
      <c r="H2" s="5" t="s">
        <v>8</v>
      </c>
      <c r="I2" s="9" t="s">
        <v>9</v>
      </c>
      <c r="J2" s="10" t="s">
        <v>10</v>
      </c>
      <c r="K2" s="10" t="s">
        <v>11</v>
      </c>
      <c r="L2" s="39" t="s">
        <v>3</v>
      </c>
      <c r="M2" s="11" t="s">
        <v>12</v>
      </c>
      <c r="N2" s="11" t="s">
        <v>13</v>
      </c>
    </row>
    <row r="3" spans="1:15" x14ac:dyDescent="0.3">
      <c r="A3" s="38">
        <v>46113</v>
      </c>
      <c r="B3" s="14">
        <v>470</v>
      </c>
      <c r="C3" s="14">
        <v>2100</v>
      </c>
      <c r="D3" s="14">
        <v>0</v>
      </c>
      <c r="E3" s="14">
        <v>2100</v>
      </c>
      <c r="F3" s="49">
        <f>+E3-(E3*3.99/100)</f>
        <v>2016.21</v>
      </c>
      <c r="G3" s="15">
        <f t="shared" ref="G3:G32" si="0">SUM(D3-B3)</f>
        <v>-470</v>
      </c>
      <c r="H3" s="15">
        <f t="shared" ref="H3:H32" si="1">SUM(E3-C3)</f>
        <v>0</v>
      </c>
      <c r="I3" s="16">
        <v>350</v>
      </c>
      <c r="J3" s="17">
        <v>0</v>
      </c>
      <c r="K3" s="17">
        <v>0</v>
      </c>
      <c r="L3" s="40">
        <f t="shared" ref="L3:L32" si="2">+E3+B3</f>
        <v>2570</v>
      </c>
      <c r="M3" s="25">
        <f>SUM(B3-J3)</f>
        <v>470</v>
      </c>
      <c r="N3" s="25">
        <f>SUM(E3-K3)</f>
        <v>2100</v>
      </c>
    </row>
    <row r="4" spans="1:15" x14ac:dyDescent="0.3">
      <c r="A4" s="38">
        <f t="shared" ref="A4:A32" si="3">+A3+1</f>
        <v>46114</v>
      </c>
      <c r="B4" s="14">
        <v>2000</v>
      </c>
      <c r="C4" s="14">
        <v>3520</v>
      </c>
      <c r="D4" s="18">
        <v>470</v>
      </c>
      <c r="E4" s="18">
        <f>3270+250</f>
        <v>3520</v>
      </c>
      <c r="F4" s="49">
        <f t="shared" ref="F4:F33" si="4">+E4-(E4*3.99/100)</f>
        <v>3379.5520000000001</v>
      </c>
      <c r="G4" s="15">
        <f t="shared" si="0"/>
        <v>-1530</v>
      </c>
      <c r="H4" s="15">
        <f t="shared" si="1"/>
        <v>0</v>
      </c>
      <c r="I4" s="20">
        <v>665</v>
      </c>
      <c r="J4" s="21">
        <v>450</v>
      </c>
      <c r="K4" s="21">
        <v>0</v>
      </c>
      <c r="L4" s="40">
        <f t="shared" si="2"/>
        <v>5520</v>
      </c>
      <c r="M4" s="26">
        <f t="shared" ref="M4:M32" si="5">SUM(B4-J4)</f>
        <v>1550</v>
      </c>
      <c r="N4" s="25">
        <f t="shared" ref="N4:N32" si="6">SUM(E4-K4)</f>
        <v>3520</v>
      </c>
    </row>
    <row r="5" spans="1:15" x14ac:dyDescent="0.3">
      <c r="A5" s="38">
        <f t="shared" si="3"/>
        <v>46115</v>
      </c>
      <c r="B5" s="18">
        <v>0</v>
      </c>
      <c r="C5" s="18">
        <v>8745</v>
      </c>
      <c r="D5" s="18">
        <v>350</v>
      </c>
      <c r="E5" s="18">
        <f>8055+690</f>
        <v>8745</v>
      </c>
      <c r="F5" s="49">
        <f t="shared" si="4"/>
        <v>8396.0745000000006</v>
      </c>
      <c r="G5" s="15">
        <f t="shared" si="0"/>
        <v>350</v>
      </c>
      <c r="H5" s="15">
        <f t="shared" si="1"/>
        <v>0</v>
      </c>
      <c r="I5" s="20">
        <v>1515.85</v>
      </c>
      <c r="J5" s="21">
        <v>50</v>
      </c>
      <c r="K5" s="21">
        <v>300</v>
      </c>
      <c r="L5" s="40">
        <f t="shared" si="2"/>
        <v>8745</v>
      </c>
      <c r="M5" s="26">
        <f t="shared" si="5"/>
        <v>-50</v>
      </c>
      <c r="N5" s="25">
        <f t="shared" si="6"/>
        <v>8445</v>
      </c>
    </row>
    <row r="6" spans="1:15" x14ac:dyDescent="0.3">
      <c r="A6" s="38">
        <f t="shared" si="3"/>
        <v>46116</v>
      </c>
      <c r="B6" s="18">
        <v>1600</v>
      </c>
      <c r="C6" s="18">
        <v>3765</v>
      </c>
      <c r="D6" s="18">
        <v>0</v>
      </c>
      <c r="E6" s="18">
        <v>3765</v>
      </c>
      <c r="F6" s="49">
        <f t="shared" si="4"/>
        <v>3614.7764999999999</v>
      </c>
      <c r="G6" s="15">
        <f t="shared" si="0"/>
        <v>-1600</v>
      </c>
      <c r="H6" s="15">
        <f t="shared" si="1"/>
        <v>0</v>
      </c>
      <c r="I6" s="20">
        <v>627.5</v>
      </c>
      <c r="J6" s="21">
        <v>0</v>
      </c>
      <c r="K6" s="21">
        <v>0</v>
      </c>
      <c r="L6" s="40">
        <f t="shared" si="2"/>
        <v>5365</v>
      </c>
      <c r="M6" s="26">
        <f t="shared" si="5"/>
        <v>1600</v>
      </c>
      <c r="N6" s="25">
        <f t="shared" si="6"/>
        <v>3765</v>
      </c>
    </row>
    <row r="7" spans="1:15" x14ac:dyDescent="0.3">
      <c r="A7" s="38">
        <f t="shared" si="3"/>
        <v>46117</v>
      </c>
      <c r="B7" s="18">
        <v>2020</v>
      </c>
      <c r="C7" s="18">
        <v>4250</v>
      </c>
      <c r="D7" s="18">
        <v>455</v>
      </c>
      <c r="E7" s="18">
        <f>3590+660</f>
        <v>4250</v>
      </c>
      <c r="F7" s="49">
        <f t="shared" si="4"/>
        <v>4080.4250000000002</v>
      </c>
      <c r="G7" s="15">
        <f t="shared" si="0"/>
        <v>-1565</v>
      </c>
      <c r="H7" s="15">
        <f t="shared" si="1"/>
        <v>0</v>
      </c>
      <c r="I7" s="20">
        <v>784.16</v>
      </c>
      <c r="J7" s="21">
        <v>0</v>
      </c>
      <c r="K7" s="21">
        <v>0</v>
      </c>
      <c r="L7" s="40">
        <f t="shared" si="2"/>
        <v>6270</v>
      </c>
      <c r="M7" s="26">
        <f t="shared" si="5"/>
        <v>2020</v>
      </c>
      <c r="N7" s="25">
        <f t="shared" si="6"/>
        <v>4250</v>
      </c>
    </row>
    <row r="8" spans="1:15" x14ac:dyDescent="0.3">
      <c r="A8" s="38">
        <f t="shared" si="3"/>
        <v>46118</v>
      </c>
      <c r="B8" s="18">
        <v>3360</v>
      </c>
      <c r="C8" s="18">
        <v>4210</v>
      </c>
      <c r="D8" s="18">
        <v>0</v>
      </c>
      <c r="E8" s="18">
        <f>2520+1690</f>
        <v>4210</v>
      </c>
      <c r="F8" s="49">
        <f t="shared" si="4"/>
        <v>4042.0210000000002</v>
      </c>
      <c r="G8" s="15">
        <f t="shared" si="0"/>
        <v>-3360</v>
      </c>
      <c r="H8" s="15">
        <f t="shared" si="1"/>
        <v>0</v>
      </c>
      <c r="I8" s="20">
        <v>701.66</v>
      </c>
      <c r="J8" s="21">
        <v>400</v>
      </c>
      <c r="K8" s="21">
        <v>0</v>
      </c>
      <c r="L8" s="40">
        <f t="shared" si="2"/>
        <v>7570</v>
      </c>
      <c r="M8" s="26">
        <f t="shared" si="5"/>
        <v>2960</v>
      </c>
      <c r="N8" s="25">
        <f t="shared" si="6"/>
        <v>4210</v>
      </c>
    </row>
    <row r="9" spans="1:15" x14ac:dyDescent="0.3">
      <c r="A9" s="38">
        <f t="shared" si="3"/>
        <v>46119</v>
      </c>
      <c r="B9" s="18">
        <v>1400</v>
      </c>
      <c r="C9" s="18">
        <v>5910</v>
      </c>
      <c r="D9" s="18">
        <v>350</v>
      </c>
      <c r="E9" s="18">
        <f>4040+1870</f>
        <v>5910</v>
      </c>
      <c r="F9" s="49">
        <f t="shared" si="4"/>
        <v>5674.1909999999998</v>
      </c>
      <c r="G9" s="15">
        <f t="shared" si="0"/>
        <v>-1050</v>
      </c>
      <c r="H9" s="15">
        <f t="shared" si="1"/>
        <v>0</v>
      </c>
      <c r="I9" s="20">
        <v>1043.33</v>
      </c>
      <c r="J9" s="21">
        <v>320</v>
      </c>
      <c r="K9" s="21">
        <f>39000+8000</f>
        <v>47000</v>
      </c>
      <c r="L9" s="40">
        <f t="shared" si="2"/>
        <v>7310</v>
      </c>
      <c r="M9" s="26">
        <f t="shared" si="5"/>
        <v>1080</v>
      </c>
      <c r="N9" s="25">
        <f t="shared" si="6"/>
        <v>-41090</v>
      </c>
    </row>
    <row r="10" spans="1:15" x14ac:dyDescent="0.3">
      <c r="A10" s="38">
        <f t="shared" si="3"/>
        <v>46120</v>
      </c>
      <c r="B10" s="18">
        <v>1200</v>
      </c>
      <c r="C10" s="18">
        <v>3115</v>
      </c>
      <c r="D10" s="18">
        <v>300</v>
      </c>
      <c r="E10" s="18">
        <v>3115</v>
      </c>
      <c r="F10" s="49">
        <f t="shared" si="4"/>
        <v>2990.7114999999999</v>
      </c>
      <c r="G10" s="15">
        <f t="shared" si="0"/>
        <v>-900</v>
      </c>
      <c r="H10" s="15">
        <f t="shared" si="1"/>
        <v>0</v>
      </c>
      <c r="I10" s="20">
        <v>569.16999999999996</v>
      </c>
      <c r="J10" s="21">
        <v>0</v>
      </c>
      <c r="K10" s="21">
        <v>3470</v>
      </c>
      <c r="L10" s="40">
        <f t="shared" si="2"/>
        <v>4315</v>
      </c>
      <c r="M10" s="26">
        <f t="shared" si="5"/>
        <v>1200</v>
      </c>
      <c r="N10" s="25">
        <f t="shared" si="6"/>
        <v>-355</v>
      </c>
    </row>
    <row r="11" spans="1:15" x14ac:dyDescent="0.3">
      <c r="A11" s="38">
        <f t="shared" si="3"/>
        <v>46121</v>
      </c>
      <c r="B11" s="18">
        <v>1115</v>
      </c>
      <c r="C11" s="18">
        <v>2990</v>
      </c>
      <c r="D11" s="18">
        <v>165</v>
      </c>
      <c r="E11" s="18">
        <v>2990</v>
      </c>
      <c r="F11" s="49">
        <f t="shared" si="4"/>
        <v>2870.6990000000001</v>
      </c>
      <c r="G11" s="15">
        <f t="shared" si="0"/>
        <v>-950</v>
      </c>
      <c r="H11" s="15">
        <f t="shared" si="1"/>
        <v>0</v>
      </c>
      <c r="I11" s="20">
        <v>525.83000000000004</v>
      </c>
      <c r="J11" s="21">
        <v>0</v>
      </c>
      <c r="K11" s="21">
        <v>4245</v>
      </c>
      <c r="L11" s="40">
        <f t="shared" si="2"/>
        <v>4105</v>
      </c>
      <c r="M11" s="26">
        <f t="shared" si="5"/>
        <v>1115</v>
      </c>
      <c r="N11" s="25">
        <f t="shared" si="6"/>
        <v>-1255</v>
      </c>
    </row>
    <row r="12" spans="1:15" x14ac:dyDescent="0.3">
      <c r="A12" s="38">
        <f t="shared" si="3"/>
        <v>46122</v>
      </c>
      <c r="B12" s="18">
        <v>900</v>
      </c>
      <c r="C12" s="18">
        <v>2910</v>
      </c>
      <c r="D12" s="18">
        <v>175</v>
      </c>
      <c r="E12" s="18">
        <f>2760+150</f>
        <v>2910</v>
      </c>
      <c r="F12" s="49">
        <f t="shared" si="4"/>
        <v>2793.8910000000001</v>
      </c>
      <c r="G12" s="15">
        <f t="shared" si="0"/>
        <v>-725</v>
      </c>
      <c r="H12" s="15">
        <f t="shared" si="1"/>
        <v>0</v>
      </c>
      <c r="I12" s="20">
        <v>514.17999999999995</v>
      </c>
      <c r="J12" s="21">
        <v>13700</v>
      </c>
      <c r="K12" s="21">
        <v>10400</v>
      </c>
      <c r="L12" s="40">
        <f t="shared" si="2"/>
        <v>3810</v>
      </c>
      <c r="M12" s="26">
        <f t="shared" si="5"/>
        <v>-12800</v>
      </c>
      <c r="N12" s="25">
        <f t="shared" si="6"/>
        <v>-7490</v>
      </c>
      <c r="O12" t="s">
        <v>17</v>
      </c>
    </row>
    <row r="13" spans="1:15" x14ac:dyDescent="0.3">
      <c r="A13" s="38">
        <f t="shared" si="3"/>
        <v>46123</v>
      </c>
      <c r="B13" s="18">
        <v>1965</v>
      </c>
      <c r="C13" s="18">
        <v>3210</v>
      </c>
      <c r="D13" s="18">
        <v>0</v>
      </c>
      <c r="E13" s="18">
        <f>2740+470</f>
        <v>3210</v>
      </c>
      <c r="F13" s="49">
        <f t="shared" si="4"/>
        <v>3081.9209999999998</v>
      </c>
      <c r="G13" s="15">
        <f t="shared" si="0"/>
        <v>-1965</v>
      </c>
      <c r="H13" s="15">
        <f t="shared" si="1"/>
        <v>0</v>
      </c>
      <c r="I13" s="20">
        <v>534.99</v>
      </c>
      <c r="J13" s="21">
        <f>90+160+350+100</f>
        <v>700</v>
      </c>
      <c r="K13" s="21">
        <v>0</v>
      </c>
      <c r="L13" s="40">
        <f t="shared" si="2"/>
        <v>5175</v>
      </c>
      <c r="M13" s="26">
        <f t="shared" si="5"/>
        <v>1265</v>
      </c>
      <c r="N13" s="25">
        <f t="shared" si="6"/>
        <v>3210</v>
      </c>
    </row>
    <row r="14" spans="1:15" x14ac:dyDescent="0.3">
      <c r="A14" s="38">
        <f t="shared" si="3"/>
        <v>46124</v>
      </c>
      <c r="B14" s="18">
        <v>1650</v>
      </c>
      <c r="C14" s="18">
        <v>2560</v>
      </c>
      <c r="D14" s="18">
        <v>0</v>
      </c>
      <c r="E14" s="18">
        <f>2190+370</f>
        <v>2560</v>
      </c>
      <c r="F14" s="49">
        <f t="shared" si="4"/>
        <v>2457.8559999999998</v>
      </c>
      <c r="G14" s="15">
        <f t="shared" si="0"/>
        <v>-1650</v>
      </c>
      <c r="H14" s="15">
        <f t="shared" si="1"/>
        <v>0</v>
      </c>
      <c r="I14" s="20">
        <v>426.67</v>
      </c>
      <c r="J14" s="21">
        <v>0</v>
      </c>
      <c r="K14" s="21">
        <v>550</v>
      </c>
      <c r="L14" s="40">
        <f t="shared" si="2"/>
        <v>4210</v>
      </c>
      <c r="M14" s="26">
        <f t="shared" si="5"/>
        <v>1650</v>
      </c>
      <c r="N14" s="25">
        <f t="shared" si="6"/>
        <v>2010</v>
      </c>
    </row>
    <row r="15" spans="1:15" x14ac:dyDescent="0.3">
      <c r="A15" s="38">
        <f t="shared" si="3"/>
        <v>46125</v>
      </c>
      <c r="B15" s="18">
        <v>200</v>
      </c>
      <c r="C15" s="18">
        <v>1960</v>
      </c>
      <c r="D15" s="18">
        <v>0</v>
      </c>
      <c r="E15" s="18">
        <v>1960</v>
      </c>
      <c r="F15" s="49">
        <f t="shared" si="4"/>
        <v>1881.796</v>
      </c>
      <c r="G15" s="15">
        <f t="shared" si="0"/>
        <v>-200</v>
      </c>
      <c r="H15" s="15">
        <f t="shared" si="1"/>
        <v>0</v>
      </c>
      <c r="I15" s="20">
        <v>326.67</v>
      </c>
      <c r="J15" s="21">
        <f>5000+105+115</f>
        <v>5220</v>
      </c>
      <c r="K15" s="21">
        <f>2000+5525</f>
        <v>7525</v>
      </c>
      <c r="L15" s="40">
        <f t="shared" si="2"/>
        <v>2160</v>
      </c>
      <c r="M15" s="26">
        <f t="shared" si="5"/>
        <v>-5020</v>
      </c>
      <c r="N15" s="25">
        <f t="shared" si="6"/>
        <v>-5565</v>
      </c>
    </row>
    <row r="16" spans="1:15" x14ac:dyDescent="0.3">
      <c r="A16" s="38">
        <f t="shared" si="3"/>
        <v>46126</v>
      </c>
      <c r="B16" s="18">
        <v>350</v>
      </c>
      <c r="C16" s="18">
        <v>1765</v>
      </c>
      <c r="D16" s="18">
        <v>100</v>
      </c>
      <c r="E16" s="18">
        <f>1245+520</f>
        <v>1765</v>
      </c>
      <c r="F16" s="49">
        <f t="shared" si="4"/>
        <v>1694.5764999999999</v>
      </c>
      <c r="G16" s="15">
        <f t="shared" si="0"/>
        <v>-250</v>
      </c>
      <c r="H16" s="15">
        <f t="shared" si="1"/>
        <v>0</v>
      </c>
      <c r="I16" s="20">
        <v>310.83999999999997</v>
      </c>
      <c r="J16" s="21">
        <v>1950</v>
      </c>
      <c r="K16" s="21">
        <f>1620+760</f>
        <v>2380</v>
      </c>
      <c r="L16" s="40">
        <f t="shared" si="2"/>
        <v>2115</v>
      </c>
      <c r="M16" s="26">
        <f t="shared" si="5"/>
        <v>-1600</v>
      </c>
      <c r="N16" s="25">
        <f t="shared" si="6"/>
        <v>-615</v>
      </c>
    </row>
    <row r="17" spans="1:15" x14ac:dyDescent="0.3">
      <c r="A17" s="38">
        <f t="shared" si="3"/>
        <v>46127</v>
      </c>
      <c r="B17" s="18">
        <v>900</v>
      </c>
      <c r="C17" s="18">
        <v>5090</v>
      </c>
      <c r="D17" s="18">
        <v>330</v>
      </c>
      <c r="E17" s="18">
        <f>4590+500</f>
        <v>5090</v>
      </c>
      <c r="F17" s="49">
        <f t="shared" si="4"/>
        <v>4886.9089999999997</v>
      </c>
      <c r="G17" s="15">
        <f t="shared" si="0"/>
        <v>-570</v>
      </c>
      <c r="H17" s="15">
        <f t="shared" si="1"/>
        <v>0</v>
      </c>
      <c r="I17" s="20">
        <v>903.33</v>
      </c>
      <c r="J17" s="21">
        <v>0</v>
      </c>
      <c r="K17" s="21">
        <v>0</v>
      </c>
      <c r="L17" s="40">
        <f t="shared" si="2"/>
        <v>5990</v>
      </c>
      <c r="M17" s="26">
        <f t="shared" si="5"/>
        <v>900</v>
      </c>
      <c r="N17" s="25">
        <f t="shared" si="6"/>
        <v>5090</v>
      </c>
    </row>
    <row r="18" spans="1:15" x14ac:dyDescent="0.3">
      <c r="A18" s="38">
        <f t="shared" si="3"/>
        <v>46128</v>
      </c>
      <c r="B18" s="18">
        <v>500</v>
      </c>
      <c r="C18" s="18">
        <v>6630</v>
      </c>
      <c r="D18" s="18">
        <v>155</v>
      </c>
      <c r="E18" s="18">
        <v>6630</v>
      </c>
      <c r="F18" s="49">
        <f t="shared" si="4"/>
        <v>6365.4629999999997</v>
      </c>
      <c r="G18" s="15">
        <f t="shared" si="0"/>
        <v>-345</v>
      </c>
      <c r="H18" s="15">
        <f t="shared" si="1"/>
        <v>0</v>
      </c>
      <c r="I18" s="20">
        <v>1130.82</v>
      </c>
      <c r="J18" s="21">
        <v>90</v>
      </c>
      <c r="K18" s="21">
        <f>5280+800</f>
        <v>6080</v>
      </c>
      <c r="L18" s="40">
        <f t="shared" si="2"/>
        <v>7130</v>
      </c>
      <c r="M18" s="26">
        <f t="shared" si="5"/>
        <v>410</v>
      </c>
      <c r="N18" s="25">
        <f t="shared" si="6"/>
        <v>550</v>
      </c>
    </row>
    <row r="19" spans="1:15" x14ac:dyDescent="0.3">
      <c r="A19" s="38">
        <f t="shared" si="3"/>
        <v>46129</v>
      </c>
      <c r="B19" s="18">
        <v>800</v>
      </c>
      <c r="C19" s="18">
        <f>270+1005</f>
        <v>1275</v>
      </c>
      <c r="D19" s="18">
        <v>0</v>
      </c>
      <c r="E19" s="18">
        <f>885+120</f>
        <v>1005</v>
      </c>
      <c r="F19" s="49">
        <f t="shared" si="4"/>
        <v>964.90049999999997</v>
      </c>
      <c r="G19" s="15">
        <f t="shared" si="0"/>
        <v>-800</v>
      </c>
      <c r="H19" s="15">
        <f t="shared" si="1"/>
        <v>-270</v>
      </c>
      <c r="I19" s="20">
        <v>167.5</v>
      </c>
      <c r="J19" s="21">
        <v>0</v>
      </c>
      <c r="K19" s="21">
        <v>4655</v>
      </c>
      <c r="L19" s="40">
        <f t="shared" si="2"/>
        <v>1805</v>
      </c>
      <c r="M19" s="26">
        <f t="shared" si="5"/>
        <v>800</v>
      </c>
      <c r="N19" s="25">
        <f t="shared" si="6"/>
        <v>-3650</v>
      </c>
    </row>
    <row r="20" spans="1:15" x14ac:dyDescent="0.3">
      <c r="A20" s="38">
        <f t="shared" si="3"/>
        <v>46130</v>
      </c>
      <c r="B20" s="18">
        <v>1600</v>
      </c>
      <c r="C20" s="18">
        <f>1580+2350</f>
        <v>3930</v>
      </c>
      <c r="D20" s="18">
        <v>85</v>
      </c>
      <c r="E20" s="18">
        <f>980+600</f>
        <v>1580</v>
      </c>
      <c r="F20" s="49">
        <f t="shared" si="4"/>
        <v>1516.9580000000001</v>
      </c>
      <c r="G20" s="15">
        <f t="shared" si="0"/>
        <v>-1515</v>
      </c>
      <c r="H20" s="15">
        <f t="shared" si="1"/>
        <v>-2350</v>
      </c>
      <c r="I20" s="20">
        <v>277.5</v>
      </c>
      <c r="J20" s="21">
        <v>215</v>
      </c>
      <c r="K20" s="21">
        <v>240</v>
      </c>
      <c r="L20" s="40">
        <f t="shared" si="2"/>
        <v>3180</v>
      </c>
      <c r="M20" s="26">
        <f t="shared" si="5"/>
        <v>1385</v>
      </c>
      <c r="N20" s="25">
        <f t="shared" si="6"/>
        <v>1340</v>
      </c>
    </row>
    <row r="21" spans="1:15" x14ac:dyDescent="0.3">
      <c r="A21" s="38">
        <f t="shared" si="3"/>
        <v>46131</v>
      </c>
      <c r="B21" s="18">
        <v>1300</v>
      </c>
      <c r="C21" s="18">
        <v>900</v>
      </c>
      <c r="D21" s="18">
        <v>100</v>
      </c>
      <c r="E21" s="18">
        <v>900</v>
      </c>
      <c r="F21" s="49">
        <f t="shared" si="4"/>
        <v>864.09</v>
      </c>
      <c r="G21" s="15">
        <f t="shared" si="0"/>
        <v>-1200</v>
      </c>
      <c r="H21" s="15">
        <f t="shared" si="1"/>
        <v>0</v>
      </c>
      <c r="I21" s="20">
        <v>166.67</v>
      </c>
      <c r="J21" s="21">
        <v>250</v>
      </c>
      <c r="K21" s="21">
        <v>0</v>
      </c>
      <c r="L21" s="40">
        <f t="shared" si="2"/>
        <v>2200</v>
      </c>
      <c r="M21" s="26">
        <f t="shared" si="5"/>
        <v>1050</v>
      </c>
      <c r="N21" s="25">
        <f t="shared" si="6"/>
        <v>900</v>
      </c>
    </row>
    <row r="22" spans="1:15" x14ac:dyDescent="0.3">
      <c r="A22" s="38">
        <f t="shared" si="3"/>
        <v>46132</v>
      </c>
      <c r="B22" s="18">
        <v>2900</v>
      </c>
      <c r="C22" s="18">
        <v>2450</v>
      </c>
      <c r="D22" s="18">
        <v>0</v>
      </c>
      <c r="E22" s="18">
        <v>2450</v>
      </c>
      <c r="F22" s="49">
        <f t="shared" si="4"/>
        <v>2352.2449999999999</v>
      </c>
      <c r="G22" s="15">
        <f t="shared" si="0"/>
        <v>-2900</v>
      </c>
      <c r="H22" s="15">
        <f t="shared" si="1"/>
        <v>0</v>
      </c>
      <c r="I22" s="20">
        <v>408.34</v>
      </c>
      <c r="J22" s="21">
        <v>350</v>
      </c>
      <c r="K22" s="21">
        <v>1500</v>
      </c>
      <c r="L22" s="40">
        <f t="shared" si="2"/>
        <v>5350</v>
      </c>
      <c r="M22" s="26">
        <f t="shared" si="5"/>
        <v>2550</v>
      </c>
      <c r="N22" s="25">
        <f t="shared" si="6"/>
        <v>950</v>
      </c>
    </row>
    <row r="23" spans="1:15" x14ac:dyDescent="0.3">
      <c r="A23" s="38">
        <f t="shared" si="3"/>
        <v>46133</v>
      </c>
      <c r="B23" s="18">
        <v>700</v>
      </c>
      <c r="C23" s="18">
        <f>1000+2420</f>
        <v>3420</v>
      </c>
      <c r="D23" s="18">
        <v>0</v>
      </c>
      <c r="E23" s="18">
        <v>2420</v>
      </c>
      <c r="F23" s="49">
        <f t="shared" si="4"/>
        <v>2323.442</v>
      </c>
      <c r="G23" s="15">
        <f t="shared" si="0"/>
        <v>-700</v>
      </c>
      <c r="H23" s="15">
        <f t="shared" si="1"/>
        <v>-1000</v>
      </c>
      <c r="I23" s="20">
        <v>403.33</v>
      </c>
      <c r="J23" s="21">
        <f>500+2800</f>
        <v>3300</v>
      </c>
      <c r="K23" s="21">
        <f>3460+810+1655+2880</f>
        <v>8805</v>
      </c>
      <c r="L23" s="40">
        <f t="shared" si="2"/>
        <v>3120</v>
      </c>
      <c r="M23" s="26">
        <f t="shared" si="5"/>
        <v>-2600</v>
      </c>
      <c r="N23" s="25">
        <f t="shared" si="6"/>
        <v>-6385</v>
      </c>
    </row>
    <row r="24" spans="1:15" x14ac:dyDescent="0.3">
      <c r="A24" s="38">
        <f t="shared" si="3"/>
        <v>46134</v>
      </c>
      <c r="B24" s="18">
        <v>2150</v>
      </c>
      <c r="C24" s="18">
        <v>5320</v>
      </c>
      <c r="D24" s="18">
        <v>0</v>
      </c>
      <c r="E24" s="18">
        <v>5320</v>
      </c>
      <c r="F24" s="49">
        <f t="shared" si="4"/>
        <v>5107.732</v>
      </c>
      <c r="G24" s="15">
        <f t="shared" si="0"/>
        <v>-2150</v>
      </c>
      <c r="H24" s="15">
        <f t="shared" si="1"/>
        <v>0</v>
      </c>
      <c r="I24" s="20">
        <v>934.16</v>
      </c>
      <c r="J24" s="21">
        <v>150</v>
      </c>
      <c r="K24" s="21">
        <v>190</v>
      </c>
      <c r="L24" s="40">
        <f t="shared" si="2"/>
        <v>7470</v>
      </c>
      <c r="M24" s="26">
        <f t="shared" si="5"/>
        <v>2000</v>
      </c>
      <c r="N24" s="25">
        <f t="shared" si="6"/>
        <v>5130</v>
      </c>
    </row>
    <row r="25" spans="1:15" x14ac:dyDescent="0.3">
      <c r="A25" s="38">
        <f t="shared" si="3"/>
        <v>46135</v>
      </c>
      <c r="B25" s="18">
        <v>2550</v>
      </c>
      <c r="C25" s="18">
        <f>410+520</f>
        <v>930</v>
      </c>
      <c r="D25" s="18">
        <v>100</v>
      </c>
      <c r="E25" s="18">
        <v>410</v>
      </c>
      <c r="F25" s="49">
        <f t="shared" si="4"/>
        <v>393.64100000000002</v>
      </c>
      <c r="G25" s="15">
        <f t="shared" si="0"/>
        <v>-2450</v>
      </c>
      <c r="H25" s="15">
        <f t="shared" si="1"/>
        <v>-520</v>
      </c>
      <c r="I25" s="20">
        <v>85</v>
      </c>
      <c r="J25" s="21">
        <v>700</v>
      </c>
      <c r="K25" s="21">
        <v>0</v>
      </c>
      <c r="L25" s="40">
        <f t="shared" si="2"/>
        <v>2960</v>
      </c>
      <c r="M25" s="26">
        <f t="shared" si="5"/>
        <v>1850</v>
      </c>
      <c r="N25" s="25">
        <f t="shared" si="6"/>
        <v>410</v>
      </c>
      <c r="O25" t="s">
        <v>18</v>
      </c>
    </row>
    <row r="26" spans="1:15" x14ac:dyDescent="0.3">
      <c r="A26" s="38">
        <f t="shared" si="3"/>
        <v>46136</v>
      </c>
      <c r="B26" s="18">
        <v>1200</v>
      </c>
      <c r="C26" s="18">
        <v>3240</v>
      </c>
      <c r="D26" s="18">
        <v>0</v>
      </c>
      <c r="E26" s="18">
        <f>2940+300</f>
        <v>3240</v>
      </c>
      <c r="F26" s="49">
        <f t="shared" si="4"/>
        <v>3110.7240000000002</v>
      </c>
      <c r="G26" s="15">
        <f t="shared" si="0"/>
        <v>-1200</v>
      </c>
      <c r="H26" s="15">
        <f t="shared" si="1"/>
        <v>0</v>
      </c>
      <c r="I26" s="20">
        <f>50+490</f>
        <v>540</v>
      </c>
      <c r="J26" s="21">
        <v>5350</v>
      </c>
      <c r="K26" s="21">
        <v>8515</v>
      </c>
      <c r="L26" s="40">
        <f t="shared" si="2"/>
        <v>4440</v>
      </c>
      <c r="M26" s="26">
        <f t="shared" si="5"/>
        <v>-4150</v>
      </c>
      <c r="N26" s="25">
        <f t="shared" si="6"/>
        <v>-5275</v>
      </c>
    </row>
    <row r="27" spans="1:15" x14ac:dyDescent="0.3">
      <c r="A27" s="38">
        <f t="shared" si="3"/>
        <v>46137</v>
      </c>
      <c r="B27" s="18">
        <v>300</v>
      </c>
      <c r="C27" s="18">
        <v>5470</v>
      </c>
      <c r="D27" s="18">
        <v>0</v>
      </c>
      <c r="E27" s="18">
        <v>5470</v>
      </c>
      <c r="F27" s="49">
        <f t="shared" si="4"/>
        <v>5251.7470000000003</v>
      </c>
      <c r="G27" s="15">
        <f t="shared" si="0"/>
        <v>-300</v>
      </c>
      <c r="H27" s="15">
        <f t="shared" si="1"/>
        <v>0</v>
      </c>
      <c r="I27" s="20">
        <v>911.66</v>
      </c>
      <c r="J27" s="21">
        <v>1000</v>
      </c>
      <c r="K27" s="21">
        <v>3870</v>
      </c>
      <c r="L27" s="40">
        <f t="shared" si="2"/>
        <v>5770</v>
      </c>
      <c r="M27" s="26">
        <f t="shared" si="5"/>
        <v>-700</v>
      </c>
      <c r="N27" s="25">
        <f t="shared" si="6"/>
        <v>1600</v>
      </c>
    </row>
    <row r="28" spans="1:15" x14ac:dyDescent="0.3">
      <c r="A28" s="38">
        <f t="shared" si="3"/>
        <v>46138</v>
      </c>
      <c r="B28" s="18">
        <v>120</v>
      </c>
      <c r="C28" s="18">
        <v>4210</v>
      </c>
      <c r="D28" s="18">
        <v>205</v>
      </c>
      <c r="E28" s="18">
        <v>4210</v>
      </c>
      <c r="F28" s="49">
        <f t="shared" si="4"/>
        <v>4042.0210000000002</v>
      </c>
      <c r="G28" s="15">
        <f t="shared" si="0"/>
        <v>85</v>
      </c>
      <c r="H28" s="15">
        <f t="shared" si="1"/>
        <v>0</v>
      </c>
      <c r="I28" s="20">
        <v>735.83</v>
      </c>
      <c r="J28" s="21">
        <v>600</v>
      </c>
      <c r="K28" s="21">
        <v>270</v>
      </c>
      <c r="L28" s="40">
        <f t="shared" si="2"/>
        <v>4330</v>
      </c>
      <c r="M28" s="26">
        <f t="shared" si="5"/>
        <v>-480</v>
      </c>
      <c r="N28" s="25">
        <f t="shared" si="6"/>
        <v>3940</v>
      </c>
    </row>
    <row r="29" spans="1:15" x14ac:dyDescent="0.3">
      <c r="A29" s="38">
        <f t="shared" si="3"/>
        <v>46139</v>
      </c>
      <c r="B29" s="18">
        <v>400</v>
      </c>
      <c r="C29" s="18">
        <v>920</v>
      </c>
      <c r="D29" s="18">
        <v>0</v>
      </c>
      <c r="E29" s="18">
        <v>920</v>
      </c>
      <c r="F29" s="49">
        <f t="shared" si="4"/>
        <v>883.29200000000003</v>
      </c>
      <c r="G29" s="15">
        <f t="shared" si="0"/>
        <v>-400</v>
      </c>
      <c r="H29" s="15">
        <f t="shared" si="1"/>
        <v>0</v>
      </c>
      <c r="I29" s="20">
        <v>153.34</v>
      </c>
      <c r="J29" s="21">
        <f>155+115</f>
        <v>270</v>
      </c>
      <c r="K29" s="21">
        <v>7800</v>
      </c>
      <c r="L29" s="40">
        <f t="shared" si="2"/>
        <v>1320</v>
      </c>
      <c r="M29" s="26">
        <f t="shared" si="5"/>
        <v>130</v>
      </c>
      <c r="N29" s="25">
        <f t="shared" si="6"/>
        <v>-6880</v>
      </c>
    </row>
    <row r="30" spans="1:15" x14ac:dyDescent="0.3">
      <c r="A30" s="38">
        <f t="shared" si="3"/>
        <v>46140</v>
      </c>
      <c r="B30" s="18">
        <v>1350</v>
      </c>
      <c r="C30" s="18">
        <f>270+2380</f>
        <v>2650</v>
      </c>
      <c r="D30" s="18">
        <v>195</v>
      </c>
      <c r="E30" s="18">
        <f>330+2050</f>
        <v>2380</v>
      </c>
      <c r="F30" s="49">
        <f t="shared" si="4"/>
        <v>2285.038</v>
      </c>
      <c r="G30" s="15">
        <f t="shared" si="0"/>
        <v>-1155</v>
      </c>
      <c r="H30" s="15">
        <f t="shared" si="1"/>
        <v>-270</v>
      </c>
      <c r="I30" s="20">
        <v>429.17</v>
      </c>
      <c r="J30" s="21">
        <f>120+70+250</f>
        <v>440</v>
      </c>
      <c r="K30" s="21">
        <v>870</v>
      </c>
      <c r="L30" s="40">
        <f t="shared" si="2"/>
        <v>3730</v>
      </c>
      <c r="M30" s="26">
        <f t="shared" si="5"/>
        <v>910</v>
      </c>
      <c r="N30" s="25">
        <f t="shared" si="6"/>
        <v>1510</v>
      </c>
    </row>
    <row r="31" spans="1:15" x14ac:dyDescent="0.3">
      <c r="A31" s="38">
        <f t="shared" si="3"/>
        <v>46141</v>
      </c>
      <c r="B31" s="18">
        <v>1600</v>
      </c>
      <c r="C31" s="18">
        <v>1620</v>
      </c>
      <c r="D31" s="18">
        <v>0</v>
      </c>
      <c r="E31" s="18">
        <f>4130+490</f>
        <v>4620</v>
      </c>
      <c r="F31" s="49">
        <f t="shared" si="4"/>
        <v>4435.6620000000003</v>
      </c>
      <c r="G31" s="15">
        <f t="shared" si="0"/>
        <v>-1600</v>
      </c>
      <c r="H31" s="15">
        <f t="shared" si="1"/>
        <v>3000</v>
      </c>
      <c r="I31" s="20">
        <v>770</v>
      </c>
      <c r="J31" s="21">
        <v>1550</v>
      </c>
      <c r="K31" s="21">
        <v>0</v>
      </c>
      <c r="L31" s="40">
        <f t="shared" si="2"/>
        <v>6220</v>
      </c>
      <c r="M31" s="26">
        <f t="shared" si="5"/>
        <v>50</v>
      </c>
      <c r="N31" s="25">
        <f t="shared" si="6"/>
        <v>4620</v>
      </c>
    </row>
    <row r="32" spans="1:15" x14ac:dyDescent="0.3">
      <c r="A32" s="38">
        <f t="shared" si="3"/>
        <v>46142</v>
      </c>
      <c r="B32" s="18">
        <v>30</v>
      </c>
      <c r="C32" s="18">
        <v>5400</v>
      </c>
      <c r="D32" s="18">
        <v>0</v>
      </c>
      <c r="E32" s="18">
        <v>5400</v>
      </c>
      <c r="F32" s="49">
        <f t="shared" si="4"/>
        <v>5184.54</v>
      </c>
      <c r="G32" s="15">
        <f t="shared" si="0"/>
        <v>-30</v>
      </c>
      <c r="H32" s="15">
        <f t="shared" si="1"/>
        <v>0</v>
      </c>
      <c r="I32" s="20">
        <v>900</v>
      </c>
      <c r="J32" s="21">
        <v>80</v>
      </c>
      <c r="K32" s="21">
        <v>0</v>
      </c>
      <c r="L32" s="40">
        <f t="shared" si="2"/>
        <v>5430</v>
      </c>
      <c r="M32" s="26">
        <f t="shared" si="5"/>
        <v>-50</v>
      </c>
      <c r="N32" s="25">
        <f t="shared" si="6"/>
        <v>5400</v>
      </c>
    </row>
    <row r="33" spans="1:15" s="8" customFormat="1" ht="27.6" customHeight="1" x14ac:dyDescent="0.35">
      <c r="A33" s="24" t="s">
        <v>4</v>
      </c>
      <c r="B33" s="24">
        <f t="shared" ref="B33:N33" si="7">SUM(B3:B32)</f>
        <v>36630</v>
      </c>
      <c r="C33" s="24">
        <f t="shared" si="7"/>
        <v>104465</v>
      </c>
      <c r="D33" s="24">
        <f t="shared" si="7"/>
        <v>3535</v>
      </c>
      <c r="E33" s="24">
        <f t="shared" si="7"/>
        <v>103055</v>
      </c>
      <c r="F33" s="49">
        <f t="shared" si="4"/>
        <v>98943.105500000005</v>
      </c>
      <c r="G33" s="15">
        <f t="shared" si="7"/>
        <v>-33095</v>
      </c>
      <c r="H33" s="23">
        <f t="shared" si="7"/>
        <v>-1410</v>
      </c>
      <c r="I33" s="24">
        <f t="shared" si="7"/>
        <v>17812.5</v>
      </c>
      <c r="J33" s="24">
        <f t="shared" si="7"/>
        <v>37135</v>
      </c>
      <c r="K33" s="24">
        <f t="shared" si="7"/>
        <v>118665</v>
      </c>
      <c r="L33" s="47">
        <f t="shared" si="7"/>
        <v>139685</v>
      </c>
      <c r="M33" s="27">
        <f t="shared" si="7"/>
        <v>-505</v>
      </c>
      <c r="N33" s="27">
        <f t="shared" si="7"/>
        <v>-15610</v>
      </c>
      <c r="O33" s="13"/>
    </row>
    <row r="34" spans="1:15" x14ac:dyDescent="0.3">
      <c r="F34" s="49">
        <f>+E33-F33</f>
        <v>4111.8944999999949</v>
      </c>
      <c r="L34" s="37">
        <f>AVERAGE(L3:L32)</f>
        <v>4656.166666666667</v>
      </c>
    </row>
    <row r="36" spans="1:15" ht="18" x14ac:dyDescent="0.3">
      <c r="H36" s="51" t="s">
        <v>14</v>
      </c>
      <c r="I36" s="51"/>
      <c r="J36" s="12">
        <f>SUM(L3:L32)</f>
        <v>139685</v>
      </c>
    </row>
    <row r="37" spans="1:15" ht="11.4" customHeight="1" x14ac:dyDescent="0.3">
      <c r="H37" s="51" t="s">
        <v>16</v>
      </c>
      <c r="I37" s="51"/>
      <c r="J37" s="12">
        <f>SUM(+J33+K33)</f>
        <v>155800</v>
      </c>
    </row>
    <row r="38" spans="1:15" ht="18" x14ac:dyDescent="0.3">
      <c r="H38" s="51" t="s">
        <v>15</v>
      </c>
      <c r="I38" s="51"/>
      <c r="J38" s="12">
        <f>SUM(M33+N33)</f>
        <v>-16115</v>
      </c>
    </row>
  </sheetData>
  <mergeCells count="3">
    <mergeCell ref="H36:I36"/>
    <mergeCell ref="H37:I37"/>
    <mergeCell ref="H38:I3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9"/>
  <sheetViews>
    <sheetView topLeftCell="A2" zoomScale="96" zoomScaleNormal="96" workbookViewId="0">
      <selection activeCell="I39" sqref="I39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9" t="s">
        <v>3</v>
      </c>
      <c r="L2" s="11" t="s">
        <v>12</v>
      </c>
      <c r="M2" s="11" t="s">
        <v>13</v>
      </c>
    </row>
    <row r="3" spans="1:14" x14ac:dyDescent="0.3">
      <c r="A3" s="38">
        <v>46082</v>
      </c>
      <c r="B3" s="14">
        <v>150</v>
      </c>
      <c r="C3" s="14">
        <v>780</v>
      </c>
      <c r="D3" s="14">
        <v>0</v>
      </c>
      <c r="E3" s="14">
        <v>780</v>
      </c>
      <c r="F3" s="15">
        <f>SUM(D3-B3)</f>
        <v>-150</v>
      </c>
      <c r="G3" s="15">
        <f>SUM(E3-C3)</f>
        <v>0</v>
      </c>
      <c r="H3" s="16">
        <v>130.01</v>
      </c>
      <c r="I3" s="17">
        <v>400</v>
      </c>
      <c r="J3" s="17">
        <v>0</v>
      </c>
      <c r="K3" s="40">
        <f t="shared" ref="K3:K33" si="0">+E3+B3</f>
        <v>930</v>
      </c>
      <c r="L3" s="25">
        <f>SUM(B3-I3)</f>
        <v>-250</v>
      </c>
      <c r="M3" s="25">
        <f>SUM(E3-J3)</f>
        <v>780</v>
      </c>
    </row>
    <row r="4" spans="1:14" x14ac:dyDescent="0.3">
      <c r="A4" s="38">
        <f t="shared" ref="A4:A33" si="1">+A3+1</f>
        <v>46083</v>
      </c>
      <c r="B4" s="18">
        <v>600</v>
      </c>
      <c r="C4" s="18">
        <v>1700</v>
      </c>
      <c r="D4" s="18">
        <v>0</v>
      </c>
      <c r="E4" s="18">
        <v>1700</v>
      </c>
      <c r="F4" s="15">
        <f>SUM(D4-B4)</f>
        <v>-600</v>
      </c>
      <c r="G4" s="15">
        <f>SUM(E4-C4)</f>
        <v>0</v>
      </c>
      <c r="H4" s="20">
        <v>283.33999999999997</v>
      </c>
      <c r="I4" s="21">
        <v>80</v>
      </c>
      <c r="J4" s="21">
        <v>0</v>
      </c>
      <c r="K4" s="40">
        <f t="shared" si="0"/>
        <v>2300</v>
      </c>
      <c r="L4" s="26">
        <f t="shared" ref="L4:L33" si="2">SUM(B4-I4)</f>
        <v>520</v>
      </c>
      <c r="M4" s="25">
        <f t="shared" ref="M4:M33" si="3">SUM(E4-J4)</f>
        <v>1700</v>
      </c>
    </row>
    <row r="5" spans="1:14" x14ac:dyDescent="0.3">
      <c r="A5" s="38">
        <f t="shared" si="1"/>
        <v>46084</v>
      </c>
      <c r="B5" s="18">
        <v>970</v>
      </c>
      <c r="C5" s="18">
        <v>6740</v>
      </c>
      <c r="D5" s="18">
        <v>0</v>
      </c>
      <c r="E5" s="18">
        <v>6740</v>
      </c>
      <c r="F5" s="15">
        <f t="shared" ref="F5:G33" si="4">SUM(D5-B5)</f>
        <v>-970</v>
      </c>
      <c r="G5" s="15">
        <f t="shared" si="4"/>
        <v>0</v>
      </c>
      <c r="H5" s="20">
        <v>1123.33</v>
      </c>
      <c r="I5" s="21">
        <v>1100</v>
      </c>
      <c r="J5" s="21">
        <v>400</v>
      </c>
      <c r="K5" s="40">
        <f t="shared" si="0"/>
        <v>7710</v>
      </c>
      <c r="L5" s="26">
        <f t="shared" si="2"/>
        <v>-130</v>
      </c>
      <c r="M5" s="25">
        <f t="shared" si="3"/>
        <v>6340</v>
      </c>
    </row>
    <row r="6" spans="1:14" x14ac:dyDescent="0.3">
      <c r="A6" s="38">
        <f t="shared" si="1"/>
        <v>46085</v>
      </c>
      <c r="B6" s="18">
        <v>2850</v>
      </c>
      <c r="C6" s="18">
        <v>9130</v>
      </c>
      <c r="D6" s="18">
        <v>0</v>
      </c>
      <c r="E6" s="18">
        <v>9130</v>
      </c>
      <c r="F6" s="15">
        <f t="shared" si="4"/>
        <v>-2850</v>
      </c>
      <c r="G6" s="15">
        <f t="shared" si="4"/>
        <v>0</v>
      </c>
      <c r="H6" s="20">
        <v>1543.34</v>
      </c>
      <c r="I6" s="21">
        <v>0</v>
      </c>
      <c r="J6" s="21">
        <v>820</v>
      </c>
      <c r="K6" s="40">
        <f t="shared" si="0"/>
        <v>11980</v>
      </c>
      <c r="L6" s="26">
        <f t="shared" si="2"/>
        <v>2850</v>
      </c>
      <c r="M6" s="25">
        <f t="shared" si="3"/>
        <v>8310</v>
      </c>
    </row>
    <row r="7" spans="1:14" x14ac:dyDescent="0.3">
      <c r="A7" s="38">
        <f t="shared" si="1"/>
        <v>46086</v>
      </c>
      <c r="B7" s="18">
        <v>2350</v>
      </c>
      <c r="C7" s="18">
        <v>3730</v>
      </c>
      <c r="D7" s="18">
        <v>0</v>
      </c>
      <c r="E7" s="18">
        <v>3730</v>
      </c>
      <c r="F7" s="15">
        <f t="shared" si="4"/>
        <v>-2350</v>
      </c>
      <c r="G7" s="15">
        <f t="shared" si="4"/>
        <v>0</v>
      </c>
      <c r="H7" s="20">
        <v>621.66</v>
      </c>
      <c r="I7" s="21">
        <v>0</v>
      </c>
      <c r="J7" s="21">
        <v>0</v>
      </c>
      <c r="K7" s="40">
        <f t="shared" si="0"/>
        <v>6080</v>
      </c>
      <c r="L7" s="26">
        <f t="shared" si="2"/>
        <v>2350</v>
      </c>
      <c r="M7" s="25">
        <f t="shared" si="3"/>
        <v>3730</v>
      </c>
    </row>
    <row r="8" spans="1:14" x14ac:dyDescent="0.3">
      <c r="A8" s="38">
        <f t="shared" si="1"/>
        <v>46087</v>
      </c>
      <c r="B8" s="18">
        <v>600</v>
      </c>
      <c r="C8" s="18">
        <v>1430</v>
      </c>
      <c r="D8" s="18">
        <v>0</v>
      </c>
      <c r="E8" s="18">
        <v>1430</v>
      </c>
      <c r="F8" s="15">
        <f t="shared" si="4"/>
        <v>-600</v>
      </c>
      <c r="G8" s="15">
        <f t="shared" si="4"/>
        <v>0</v>
      </c>
      <c r="H8" s="20">
        <v>238.34</v>
      </c>
      <c r="I8" s="21">
        <v>300</v>
      </c>
      <c r="J8" s="21">
        <v>0</v>
      </c>
      <c r="K8" s="40">
        <f t="shared" si="0"/>
        <v>2030</v>
      </c>
      <c r="L8" s="26">
        <f t="shared" si="2"/>
        <v>300</v>
      </c>
      <c r="M8" s="25">
        <f t="shared" si="3"/>
        <v>1430</v>
      </c>
    </row>
    <row r="9" spans="1:14" x14ac:dyDescent="0.3">
      <c r="A9" s="38">
        <f t="shared" si="1"/>
        <v>46088</v>
      </c>
      <c r="B9" s="18">
        <v>1950</v>
      </c>
      <c r="C9" s="18">
        <v>3440</v>
      </c>
      <c r="D9" s="18">
        <v>0</v>
      </c>
      <c r="E9" s="18">
        <v>3440</v>
      </c>
      <c r="F9" s="15">
        <f t="shared" si="4"/>
        <v>-1950</v>
      </c>
      <c r="G9" s="15">
        <f t="shared" si="4"/>
        <v>0</v>
      </c>
      <c r="H9" s="20">
        <v>619.17999999999995</v>
      </c>
      <c r="I9" s="21">
        <v>5370</v>
      </c>
      <c r="J9" s="21">
        <v>3000</v>
      </c>
      <c r="K9" s="40">
        <f t="shared" si="0"/>
        <v>5390</v>
      </c>
      <c r="L9" s="26">
        <f t="shared" si="2"/>
        <v>-3420</v>
      </c>
      <c r="M9" s="25">
        <f t="shared" si="3"/>
        <v>440</v>
      </c>
    </row>
    <row r="10" spans="1:14" x14ac:dyDescent="0.3">
      <c r="A10" s="38">
        <f t="shared" si="1"/>
        <v>46089</v>
      </c>
      <c r="B10" s="18">
        <v>850</v>
      </c>
      <c r="C10" s="18">
        <v>970</v>
      </c>
      <c r="D10" s="18">
        <v>0</v>
      </c>
      <c r="E10" s="18">
        <v>970</v>
      </c>
      <c r="F10" s="15">
        <f t="shared" si="4"/>
        <v>-850</v>
      </c>
      <c r="G10" s="15">
        <f t="shared" si="4"/>
        <v>0</v>
      </c>
      <c r="H10" s="20">
        <v>111.67</v>
      </c>
      <c r="I10" s="21">
        <v>0</v>
      </c>
      <c r="J10" s="21">
        <v>0</v>
      </c>
      <c r="K10" s="40">
        <f t="shared" si="0"/>
        <v>1820</v>
      </c>
      <c r="L10" s="26">
        <f t="shared" si="2"/>
        <v>850</v>
      </c>
      <c r="M10" s="25">
        <f t="shared" si="3"/>
        <v>970</v>
      </c>
    </row>
    <row r="11" spans="1:14" x14ac:dyDescent="0.3">
      <c r="A11" s="38">
        <f t="shared" si="1"/>
        <v>46090</v>
      </c>
      <c r="B11" s="18">
        <v>1350</v>
      </c>
      <c r="C11" s="18">
        <v>1520</v>
      </c>
      <c r="D11" s="18">
        <v>0</v>
      </c>
      <c r="E11" s="18">
        <v>1520</v>
      </c>
      <c r="F11" s="15">
        <f t="shared" si="4"/>
        <v>-1350</v>
      </c>
      <c r="G11" s="15">
        <f t="shared" si="4"/>
        <v>0</v>
      </c>
      <c r="H11" s="20">
        <v>285.01</v>
      </c>
      <c r="I11" s="21">
        <v>0</v>
      </c>
      <c r="J11" s="21">
        <v>0</v>
      </c>
      <c r="K11" s="40">
        <f t="shared" si="0"/>
        <v>2870</v>
      </c>
      <c r="L11" s="26">
        <f t="shared" si="2"/>
        <v>1350</v>
      </c>
      <c r="M11" s="25">
        <f t="shared" si="3"/>
        <v>1520</v>
      </c>
    </row>
    <row r="12" spans="1:14" x14ac:dyDescent="0.3">
      <c r="A12" s="38">
        <f t="shared" si="1"/>
        <v>46091</v>
      </c>
      <c r="B12" s="18">
        <v>1200</v>
      </c>
      <c r="C12" s="18">
        <v>1990</v>
      </c>
      <c r="D12" s="18">
        <v>0</v>
      </c>
      <c r="E12" s="18">
        <v>1990</v>
      </c>
      <c r="F12" s="15">
        <f t="shared" si="4"/>
        <v>-1200</v>
      </c>
      <c r="G12" s="15">
        <f t="shared" si="4"/>
        <v>0</v>
      </c>
      <c r="H12" s="20">
        <v>331.66</v>
      </c>
      <c r="I12" s="21">
        <v>16000</v>
      </c>
      <c r="J12" s="21">
        <v>41000</v>
      </c>
      <c r="K12" s="40">
        <f t="shared" si="0"/>
        <v>3190</v>
      </c>
      <c r="L12" s="26">
        <f t="shared" si="2"/>
        <v>-14800</v>
      </c>
      <c r="M12" s="25">
        <f t="shared" si="3"/>
        <v>-39010</v>
      </c>
      <c r="N12" t="s">
        <v>17</v>
      </c>
    </row>
    <row r="13" spans="1:14" x14ac:dyDescent="0.3">
      <c r="A13" s="38">
        <f t="shared" si="1"/>
        <v>46092</v>
      </c>
      <c r="B13" s="18">
        <v>2110</v>
      </c>
      <c r="C13" s="18">
        <v>5750</v>
      </c>
      <c r="D13" s="18">
        <v>0</v>
      </c>
      <c r="E13" s="18">
        <v>5750</v>
      </c>
      <c r="F13" s="15">
        <f t="shared" si="4"/>
        <v>-2110</v>
      </c>
      <c r="G13" s="15">
        <f t="shared" si="4"/>
        <v>0</v>
      </c>
      <c r="H13" s="20">
        <v>987.48</v>
      </c>
      <c r="I13" s="21">
        <v>0</v>
      </c>
      <c r="J13" s="21">
        <v>0</v>
      </c>
      <c r="K13" s="40">
        <f t="shared" si="0"/>
        <v>7860</v>
      </c>
      <c r="L13" s="26">
        <f t="shared" si="2"/>
        <v>2110</v>
      </c>
      <c r="M13" s="25">
        <f t="shared" si="3"/>
        <v>5750</v>
      </c>
    </row>
    <row r="14" spans="1:14" x14ac:dyDescent="0.3">
      <c r="A14" s="38">
        <f t="shared" si="1"/>
        <v>46093</v>
      </c>
      <c r="B14" s="18">
        <v>910</v>
      </c>
      <c r="C14" s="18">
        <v>2645</v>
      </c>
      <c r="D14" s="18">
        <v>0</v>
      </c>
      <c r="E14" s="18">
        <v>2645</v>
      </c>
      <c r="F14" s="15">
        <f t="shared" si="4"/>
        <v>-910</v>
      </c>
      <c r="G14" s="15">
        <f t="shared" si="4"/>
        <v>0</v>
      </c>
      <c r="H14" s="20">
        <v>440.84</v>
      </c>
      <c r="I14" s="21">
        <v>300</v>
      </c>
      <c r="J14" s="21">
        <v>7500</v>
      </c>
      <c r="K14" s="40">
        <f t="shared" si="0"/>
        <v>3555</v>
      </c>
      <c r="L14" s="26">
        <f t="shared" si="2"/>
        <v>610</v>
      </c>
      <c r="M14" s="25">
        <f t="shared" si="3"/>
        <v>-4855</v>
      </c>
    </row>
    <row r="15" spans="1:14" x14ac:dyDescent="0.3">
      <c r="A15" s="38">
        <f t="shared" si="1"/>
        <v>46094</v>
      </c>
      <c r="B15" s="18">
        <v>1100</v>
      </c>
      <c r="C15" s="18">
        <v>2870</v>
      </c>
      <c r="D15" s="18">
        <v>0</v>
      </c>
      <c r="E15" s="18">
        <v>2870</v>
      </c>
      <c r="F15" s="15">
        <f t="shared" si="4"/>
        <v>-1100</v>
      </c>
      <c r="G15" s="15">
        <f t="shared" si="4"/>
        <v>0</v>
      </c>
      <c r="H15" s="20">
        <v>523.32000000000005</v>
      </c>
      <c r="I15" s="21">
        <v>215</v>
      </c>
      <c r="J15" s="21">
        <v>180</v>
      </c>
      <c r="K15" s="40">
        <f t="shared" si="0"/>
        <v>3970</v>
      </c>
      <c r="L15" s="26">
        <f t="shared" si="2"/>
        <v>885</v>
      </c>
      <c r="M15" s="25">
        <f t="shared" si="3"/>
        <v>2690</v>
      </c>
    </row>
    <row r="16" spans="1:14" x14ac:dyDescent="0.3">
      <c r="A16" s="38">
        <f t="shared" si="1"/>
        <v>46095</v>
      </c>
      <c r="B16" s="18">
        <v>2010</v>
      </c>
      <c r="C16" s="18">
        <v>4285</v>
      </c>
      <c r="D16" s="18">
        <v>0</v>
      </c>
      <c r="E16" s="18">
        <v>4285</v>
      </c>
      <c r="F16" s="15">
        <f t="shared" si="4"/>
        <v>-2010</v>
      </c>
      <c r="G16" s="15">
        <f t="shared" si="4"/>
        <v>0</v>
      </c>
      <c r="H16" s="20">
        <v>756.66</v>
      </c>
      <c r="I16" s="21">
        <v>500</v>
      </c>
      <c r="J16" s="21">
        <v>430</v>
      </c>
      <c r="K16" s="40">
        <f t="shared" si="0"/>
        <v>6295</v>
      </c>
      <c r="L16" s="26">
        <f t="shared" si="2"/>
        <v>1510</v>
      </c>
      <c r="M16" s="25">
        <f t="shared" si="3"/>
        <v>3855</v>
      </c>
    </row>
    <row r="17" spans="1:14" x14ac:dyDescent="0.3">
      <c r="A17" s="38">
        <f t="shared" si="1"/>
        <v>46096</v>
      </c>
      <c r="B17" s="18">
        <v>1230</v>
      </c>
      <c r="C17" s="18">
        <v>1820</v>
      </c>
      <c r="D17" s="18">
        <v>0</v>
      </c>
      <c r="E17" s="18">
        <v>1820</v>
      </c>
      <c r="F17" s="15">
        <f t="shared" si="4"/>
        <v>-1230</v>
      </c>
      <c r="G17" s="15">
        <f t="shared" si="4"/>
        <v>0</v>
      </c>
      <c r="H17" s="20">
        <v>303.33999999999997</v>
      </c>
      <c r="I17" s="21">
        <v>680</v>
      </c>
      <c r="J17" s="21">
        <v>0</v>
      </c>
      <c r="K17" s="40">
        <f t="shared" si="0"/>
        <v>3050</v>
      </c>
      <c r="L17" s="26">
        <f t="shared" si="2"/>
        <v>550</v>
      </c>
      <c r="M17" s="25">
        <f t="shared" si="3"/>
        <v>1820</v>
      </c>
    </row>
    <row r="18" spans="1:14" x14ac:dyDescent="0.3">
      <c r="A18" s="38">
        <f t="shared" si="1"/>
        <v>46097</v>
      </c>
      <c r="B18" s="18">
        <v>1200</v>
      </c>
      <c r="C18" s="18">
        <v>1270</v>
      </c>
      <c r="D18" s="18">
        <v>0</v>
      </c>
      <c r="E18" s="18">
        <v>1270</v>
      </c>
      <c r="F18" s="15">
        <f t="shared" si="4"/>
        <v>-1200</v>
      </c>
      <c r="G18" s="15">
        <f t="shared" si="4"/>
        <v>0</v>
      </c>
      <c r="H18" s="20">
        <v>170</v>
      </c>
      <c r="I18" s="21">
        <v>5585</v>
      </c>
      <c r="J18" s="21">
        <v>11180</v>
      </c>
      <c r="K18" s="40">
        <f t="shared" si="0"/>
        <v>2470</v>
      </c>
      <c r="L18" s="26">
        <f t="shared" si="2"/>
        <v>-4385</v>
      </c>
      <c r="M18" s="25">
        <f t="shared" si="3"/>
        <v>-9910</v>
      </c>
    </row>
    <row r="19" spans="1:14" x14ac:dyDescent="0.3">
      <c r="A19" s="38">
        <f t="shared" si="1"/>
        <v>46098</v>
      </c>
      <c r="B19" s="18">
        <v>1450</v>
      </c>
      <c r="C19" s="18">
        <v>4660</v>
      </c>
      <c r="D19" s="18">
        <v>0</v>
      </c>
      <c r="E19" s="18">
        <v>4660</v>
      </c>
      <c r="F19" s="15">
        <f t="shared" si="4"/>
        <v>-1450</v>
      </c>
      <c r="G19" s="15">
        <f t="shared" si="4"/>
        <v>0</v>
      </c>
      <c r="H19" s="20">
        <v>813.34</v>
      </c>
      <c r="I19" s="21">
        <v>0</v>
      </c>
      <c r="J19" s="21">
        <v>370</v>
      </c>
      <c r="K19" s="40">
        <f t="shared" si="0"/>
        <v>6110</v>
      </c>
      <c r="L19" s="26">
        <f t="shared" si="2"/>
        <v>1450</v>
      </c>
      <c r="M19" s="25">
        <f t="shared" si="3"/>
        <v>4290</v>
      </c>
    </row>
    <row r="20" spans="1:14" x14ac:dyDescent="0.3">
      <c r="A20" s="38">
        <f t="shared" si="1"/>
        <v>46099</v>
      </c>
      <c r="B20" s="18">
        <v>1150</v>
      </c>
      <c r="C20" s="18">
        <v>2360</v>
      </c>
      <c r="D20" s="18">
        <v>0</v>
      </c>
      <c r="E20" s="18">
        <v>2360</v>
      </c>
      <c r="F20" s="15">
        <f t="shared" si="4"/>
        <v>-1150</v>
      </c>
      <c r="G20" s="15">
        <f t="shared" si="4"/>
        <v>0</v>
      </c>
      <c r="H20" s="20">
        <v>430.84</v>
      </c>
      <c r="I20" s="21">
        <v>350</v>
      </c>
      <c r="J20" s="21">
        <v>0</v>
      </c>
      <c r="K20" s="40">
        <f t="shared" si="0"/>
        <v>3510</v>
      </c>
      <c r="L20" s="26">
        <f t="shared" si="2"/>
        <v>800</v>
      </c>
      <c r="M20" s="25">
        <f t="shared" si="3"/>
        <v>2360</v>
      </c>
    </row>
    <row r="21" spans="1:14" x14ac:dyDescent="0.3">
      <c r="A21" s="38">
        <f t="shared" si="1"/>
        <v>46100</v>
      </c>
      <c r="B21" s="18">
        <v>250</v>
      </c>
      <c r="C21" s="18">
        <v>420</v>
      </c>
      <c r="D21" s="18">
        <v>0</v>
      </c>
      <c r="E21" s="18">
        <v>420</v>
      </c>
      <c r="F21" s="15">
        <f t="shared" si="4"/>
        <v>-250</v>
      </c>
      <c r="G21" s="15">
        <f t="shared" si="4"/>
        <v>0</v>
      </c>
      <c r="H21" s="20">
        <v>70</v>
      </c>
      <c r="I21" s="21">
        <v>0</v>
      </c>
      <c r="J21" s="21">
        <v>0</v>
      </c>
      <c r="K21" s="40">
        <f t="shared" si="0"/>
        <v>670</v>
      </c>
      <c r="L21" s="26">
        <f t="shared" si="2"/>
        <v>250</v>
      </c>
      <c r="M21" s="25">
        <f t="shared" si="3"/>
        <v>420</v>
      </c>
    </row>
    <row r="22" spans="1:14" x14ac:dyDescent="0.3">
      <c r="A22" s="38">
        <f t="shared" si="1"/>
        <v>46101</v>
      </c>
      <c r="B22" s="18">
        <v>0</v>
      </c>
      <c r="C22" s="18">
        <v>0</v>
      </c>
      <c r="D22" s="18">
        <v>0</v>
      </c>
      <c r="E22" s="18">
        <v>0</v>
      </c>
      <c r="F22" s="15">
        <f t="shared" si="4"/>
        <v>0</v>
      </c>
      <c r="G22" s="15">
        <f t="shared" si="4"/>
        <v>0</v>
      </c>
      <c r="H22" s="20">
        <v>0</v>
      </c>
      <c r="I22" s="21">
        <v>350</v>
      </c>
      <c r="J22" s="21">
        <v>0</v>
      </c>
      <c r="K22" s="40">
        <f t="shared" si="0"/>
        <v>0</v>
      </c>
      <c r="L22" s="26">
        <f t="shared" si="2"/>
        <v>-350</v>
      </c>
      <c r="M22" s="25">
        <f t="shared" si="3"/>
        <v>0</v>
      </c>
    </row>
    <row r="23" spans="1:14" x14ac:dyDescent="0.3">
      <c r="A23" s="38">
        <f t="shared" si="1"/>
        <v>46102</v>
      </c>
      <c r="B23" s="18">
        <v>1900</v>
      </c>
      <c r="C23" s="18">
        <v>570</v>
      </c>
      <c r="D23" s="18">
        <v>0</v>
      </c>
      <c r="E23" s="18">
        <v>570</v>
      </c>
      <c r="F23" s="15">
        <f t="shared" si="4"/>
        <v>-1900</v>
      </c>
      <c r="G23" s="15">
        <f t="shared" si="4"/>
        <v>0</v>
      </c>
      <c r="H23" s="20">
        <v>145</v>
      </c>
      <c r="I23" s="21">
        <v>0</v>
      </c>
      <c r="J23" s="21">
        <v>0</v>
      </c>
      <c r="K23" s="40">
        <f t="shared" si="0"/>
        <v>2470</v>
      </c>
      <c r="L23" s="26">
        <f t="shared" si="2"/>
        <v>1900</v>
      </c>
      <c r="M23" s="25">
        <f t="shared" si="3"/>
        <v>570</v>
      </c>
    </row>
    <row r="24" spans="1:14" x14ac:dyDescent="0.3">
      <c r="A24" s="38">
        <f t="shared" si="1"/>
        <v>46103</v>
      </c>
      <c r="B24" s="18">
        <v>630</v>
      </c>
      <c r="C24" s="18">
        <v>1030</v>
      </c>
      <c r="D24" s="18">
        <v>0</v>
      </c>
      <c r="E24" s="18">
        <v>1030</v>
      </c>
      <c r="F24" s="15">
        <f t="shared" si="4"/>
        <v>-630</v>
      </c>
      <c r="G24" s="15">
        <f t="shared" si="4"/>
        <v>0</v>
      </c>
      <c r="H24" s="20">
        <v>171.66</v>
      </c>
      <c r="I24" s="21">
        <v>0</v>
      </c>
      <c r="J24" s="21">
        <v>0</v>
      </c>
      <c r="K24" s="40">
        <f t="shared" si="0"/>
        <v>1660</v>
      </c>
      <c r="L24" s="26">
        <f t="shared" si="2"/>
        <v>630</v>
      </c>
      <c r="M24" s="25">
        <f t="shared" si="3"/>
        <v>1030</v>
      </c>
    </row>
    <row r="25" spans="1:14" x14ac:dyDescent="0.3">
      <c r="A25" s="38">
        <f t="shared" si="1"/>
        <v>46104</v>
      </c>
      <c r="B25" s="18">
        <v>0</v>
      </c>
      <c r="C25" s="18">
        <v>500</v>
      </c>
      <c r="D25" s="18">
        <v>0</v>
      </c>
      <c r="E25" s="18">
        <v>500</v>
      </c>
      <c r="F25" s="15">
        <f t="shared" si="4"/>
        <v>0</v>
      </c>
      <c r="G25" s="15">
        <f t="shared" si="4"/>
        <v>0</v>
      </c>
      <c r="H25" s="20">
        <v>83.33</v>
      </c>
      <c r="I25" s="21">
        <v>5000</v>
      </c>
      <c r="J25" s="21">
        <v>9885</v>
      </c>
      <c r="K25" s="40">
        <f t="shared" si="0"/>
        <v>500</v>
      </c>
      <c r="L25" s="26">
        <f t="shared" si="2"/>
        <v>-5000</v>
      </c>
      <c r="M25" s="25">
        <f t="shared" si="3"/>
        <v>-9385</v>
      </c>
      <c r="N25" t="s">
        <v>18</v>
      </c>
    </row>
    <row r="26" spans="1:14" x14ac:dyDescent="0.3">
      <c r="A26" s="38">
        <f t="shared" si="1"/>
        <v>46105</v>
      </c>
      <c r="B26" s="18">
        <v>200</v>
      </c>
      <c r="C26" s="18">
        <v>3350</v>
      </c>
      <c r="D26" s="18">
        <v>0</v>
      </c>
      <c r="E26" s="18">
        <v>3350</v>
      </c>
      <c r="F26" s="15">
        <f t="shared" si="4"/>
        <v>-200</v>
      </c>
      <c r="G26" s="15">
        <f t="shared" si="4"/>
        <v>0</v>
      </c>
      <c r="H26" s="20">
        <v>558.33000000000004</v>
      </c>
      <c r="I26" s="21">
        <v>570</v>
      </c>
      <c r="J26" s="21">
        <v>760</v>
      </c>
      <c r="K26" s="40">
        <f t="shared" si="0"/>
        <v>3550</v>
      </c>
      <c r="L26" s="26">
        <f t="shared" si="2"/>
        <v>-370</v>
      </c>
      <c r="M26" s="25">
        <f t="shared" si="3"/>
        <v>2590</v>
      </c>
    </row>
    <row r="27" spans="1:14" x14ac:dyDescent="0.3">
      <c r="A27" s="38">
        <f t="shared" si="1"/>
        <v>46106</v>
      </c>
      <c r="B27" s="18">
        <v>600</v>
      </c>
      <c r="C27" s="18">
        <v>4005</v>
      </c>
      <c r="D27" s="18">
        <v>0</v>
      </c>
      <c r="E27" s="18">
        <v>4005</v>
      </c>
      <c r="F27" s="15">
        <f t="shared" si="4"/>
        <v>-600</v>
      </c>
      <c r="G27" s="15">
        <f t="shared" si="4"/>
        <v>0</v>
      </c>
      <c r="H27" s="20">
        <v>667.5</v>
      </c>
      <c r="I27" s="21">
        <v>0</v>
      </c>
      <c r="J27" s="21">
        <v>0</v>
      </c>
      <c r="K27" s="40">
        <f t="shared" si="0"/>
        <v>4605</v>
      </c>
      <c r="L27" s="26">
        <f t="shared" si="2"/>
        <v>600</v>
      </c>
      <c r="M27" s="25">
        <f t="shared" si="3"/>
        <v>4005</v>
      </c>
    </row>
    <row r="28" spans="1:14" x14ac:dyDescent="0.3">
      <c r="A28" s="38">
        <f t="shared" si="1"/>
        <v>46107</v>
      </c>
      <c r="B28" s="18">
        <v>400</v>
      </c>
      <c r="C28" s="18">
        <v>5635</v>
      </c>
      <c r="D28" s="18">
        <v>0</v>
      </c>
      <c r="E28" s="18">
        <v>11635</v>
      </c>
      <c r="F28" s="15">
        <f t="shared" si="4"/>
        <v>-400</v>
      </c>
      <c r="G28" s="15">
        <f t="shared" si="4"/>
        <v>6000</v>
      </c>
      <c r="H28" s="20">
        <v>976.68</v>
      </c>
      <c r="I28" s="21">
        <v>460</v>
      </c>
      <c r="J28" s="21">
        <v>4980</v>
      </c>
      <c r="K28" s="40">
        <f t="shared" si="0"/>
        <v>12035</v>
      </c>
      <c r="L28" s="26">
        <f t="shared" si="2"/>
        <v>-60</v>
      </c>
      <c r="M28" s="25">
        <f t="shared" si="3"/>
        <v>6655</v>
      </c>
    </row>
    <row r="29" spans="1:14" x14ac:dyDescent="0.3">
      <c r="A29" s="38">
        <f t="shared" si="1"/>
        <v>46108</v>
      </c>
      <c r="B29" s="18">
        <v>2330</v>
      </c>
      <c r="C29" s="18">
        <v>2330</v>
      </c>
      <c r="D29" s="18">
        <v>0</v>
      </c>
      <c r="E29" s="18">
        <v>2330</v>
      </c>
      <c r="F29" s="15">
        <f t="shared" si="4"/>
        <v>-2330</v>
      </c>
      <c r="G29" s="15">
        <f t="shared" si="4"/>
        <v>0</v>
      </c>
      <c r="H29" s="20">
        <v>321.67</v>
      </c>
      <c r="I29" s="21">
        <v>0</v>
      </c>
      <c r="J29" s="21">
        <v>0</v>
      </c>
      <c r="K29" s="40">
        <f t="shared" si="0"/>
        <v>4660</v>
      </c>
      <c r="L29" s="26">
        <f t="shared" si="2"/>
        <v>2330</v>
      </c>
      <c r="M29" s="25">
        <f t="shared" si="3"/>
        <v>2330</v>
      </c>
    </row>
    <row r="30" spans="1:14" x14ac:dyDescent="0.3">
      <c r="A30" s="38">
        <f t="shared" si="1"/>
        <v>46109</v>
      </c>
      <c r="B30" s="18">
        <v>1960</v>
      </c>
      <c r="C30" s="18">
        <v>3580</v>
      </c>
      <c r="D30" s="18">
        <v>0</v>
      </c>
      <c r="E30" s="18">
        <v>3580</v>
      </c>
      <c r="F30" s="15">
        <f t="shared" si="4"/>
        <v>-1960</v>
      </c>
      <c r="G30" s="15">
        <f t="shared" si="4"/>
        <v>0</v>
      </c>
      <c r="H30" s="20">
        <v>595</v>
      </c>
      <c r="I30" s="21">
        <v>0</v>
      </c>
      <c r="J30" s="21">
        <v>0</v>
      </c>
      <c r="K30" s="40">
        <f t="shared" si="0"/>
        <v>5540</v>
      </c>
      <c r="L30" s="26">
        <f t="shared" si="2"/>
        <v>1960</v>
      </c>
      <c r="M30" s="25">
        <f t="shared" si="3"/>
        <v>3580</v>
      </c>
    </row>
    <row r="31" spans="1:14" x14ac:dyDescent="0.3">
      <c r="A31" s="38">
        <f t="shared" si="1"/>
        <v>46110</v>
      </c>
      <c r="B31" s="18">
        <v>1650</v>
      </c>
      <c r="C31" s="18">
        <v>6370</v>
      </c>
      <c r="D31" s="18">
        <v>0</v>
      </c>
      <c r="E31" s="18">
        <v>6370</v>
      </c>
      <c r="F31" s="15">
        <f t="shared" si="4"/>
        <v>-1650</v>
      </c>
      <c r="G31" s="15">
        <f t="shared" si="4"/>
        <v>0</v>
      </c>
      <c r="H31" s="20">
        <v>1150</v>
      </c>
      <c r="I31" s="21">
        <v>200</v>
      </c>
      <c r="J31" s="21">
        <v>190</v>
      </c>
      <c r="K31" s="40">
        <f t="shared" si="0"/>
        <v>8020</v>
      </c>
      <c r="L31" s="26">
        <f t="shared" si="2"/>
        <v>1450</v>
      </c>
      <c r="M31" s="25">
        <f t="shared" si="3"/>
        <v>6180</v>
      </c>
    </row>
    <row r="32" spans="1:14" x14ac:dyDescent="0.3">
      <c r="A32" s="38">
        <f t="shared" si="1"/>
        <v>46111</v>
      </c>
      <c r="B32" s="18">
        <v>700</v>
      </c>
      <c r="C32" s="18">
        <v>3480</v>
      </c>
      <c r="D32" s="18">
        <v>0</v>
      </c>
      <c r="E32" s="18">
        <v>3480</v>
      </c>
      <c r="F32" s="15">
        <f t="shared" si="4"/>
        <v>-700</v>
      </c>
      <c r="G32" s="15">
        <f t="shared" si="4"/>
        <v>0</v>
      </c>
      <c r="H32" s="20">
        <v>624.16999999999996</v>
      </c>
      <c r="I32" s="21">
        <v>1500</v>
      </c>
      <c r="J32" s="21">
        <v>1000</v>
      </c>
      <c r="K32" s="40">
        <f t="shared" si="0"/>
        <v>4180</v>
      </c>
      <c r="L32" s="26">
        <f t="shared" si="2"/>
        <v>-800</v>
      </c>
      <c r="M32" s="25">
        <f t="shared" si="3"/>
        <v>2480</v>
      </c>
    </row>
    <row r="33" spans="1:14" x14ac:dyDescent="0.3">
      <c r="A33" s="38">
        <f t="shared" si="1"/>
        <v>46112</v>
      </c>
      <c r="B33" s="18">
        <v>1380</v>
      </c>
      <c r="C33" s="18">
        <v>1440</v>
      </c>
      <c r="D33" s="18">
        <v>0</v>
      </c>
      <c r="E33" s="18">
        <v>1440</v>
      </c>
      <c r="F33" s="15">
        <f t="shared" si="4"/>
        <v>-1380</v>
      </c>
      <c r="G33" s="15">
        <f t="shared" si="4"/>
        <v>0</v>
      </c>
      <c r="H33" s="20">
        <v>126.84</v>
      </c>
      <c r="I33" s="21">
        <v>0</v>
      </c>
      <c r="J33" s="33">
        <v>0</v>
      </c>
      <c r="K33" s="40">
        <f t="shared" si="0"/>
        <v>2820</v>
      </c>
      <c r="L33" s="26">
        <f t="shared" si="2"/>
        <v>1380</v>
      </c>
      <c r="M33" s="25">
        <f t="shared" si="3"/>
        <v>1440</v>
      </c>
    </row>
    <row r="34" spans="1:14" s="8" customFormat="1" ht="27.6" customHeight="1" x14ac:dyDescent="0.35">
      <c r="A34" s="24" t="s">
        <v>4</v>
      </c>
      <c r="B34" s="24">
        <f t="shared" ref="B34:M34" si="5">SUM(B3:B33)</f>
        <v>36030</v>
      </c>
      <c r="C34" s="24">
        <f t="shared" si="5"/>
        <v>89800</v>
      </c>
      <c r="D34" s="24">
        <f t="shared" si="5"/>
        <v>0</v>
      </c>
      <c r="E34" s="24">
        <f t="shared" si="5"/>
        <v>95800</v>
      </c>
      <c r="F34" s="15">
        <f t="shared" si="5"/>
        <v>-36030</v>
      </c>
      <c r="G34" s="23">
        <f t="shared" si="5"/>
        <v>6000</v>
      </c>
      <c r="H34" s="24">
        <f t="shared" si="5"/>
        <v>15203.54</v>
      </c>
      <c r="I34" s="24">
        <f t="shared" si="5"/>
        <v>38960</v>
      </c>
      <c r="J34" s="24">
        <f t="shared" si="5"/>
        <v>81695</v>
      </c>
      <c r="K34" s="32">
        <f t="shared" si="5"/>
        <v>131830</v>
      </c>
      <c r="L34" s="27">
        <f t="shared" si="5"/>
        <v>-2930</v>
      </c>
      <c r="M34" s="27">
        <f t="shared" si="5"/>
        <v>14105</v>
      </c>
      <c r="N34" s="13"/>
    </row>
    <row r="35" spans="1:14" x14ac:dyDescent="0.3">
      <c r="K35" s="37">
        <f>AVERAGE(K3:K33)</f>
        <v>4252.5806451612907</v>
      </c>
    </row>
    <row r="37" spans="1:14" ht="18" x14ac:dyDescent="0.3">
      <c r="G37" s="51" t="s">
        <v>14</v>
      </c>
      <c r="H37" s="51"/>
      <c r="I37" s="12">
        <f>SUM(K3:K33)</f>
        <v>131830</v>
      </c>
    </row>
    <row r="38" spans="1:14" ht="11.4" customHeight="1" x14ac:dyDescent="0.3">
      <c r="G38" s="51" t="s">
        <v>16</v>
      </c>
      <c r="H38" s="51"/>
      <c r="I38" s="12">
        <f>SUM(+I34+J34)</f>
        <v>120655</v>
      </c>
    </row>
    <row r="39" spans="1:14" ht="18" x14ac:dyDescent="0.3">
      <c r="G39" s="51" t="s">
        <v>15</v>
      </c>
      <c r="H39" s="51"/>
      <c r="I39" s="12">
        <f>SUM(L34+M34)</f>
        <v>11175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topLeftCell="A2" zoomScale="96" zoomScaleNormal="96" workbookViewId="0">
      <selection activeCell="I8" sqref="I8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9" t="s">
        <v>3</v>
      </c>
      <c r="L2" s="11" t="s">
        <v>12</v>
      </c>
      <c r="M2" s="11" t="s">
        <v>13</v>
      </c>
    </row>
    <row r="3" spans="1:14" x14ac:dyDescent="0.3">
      <c r="A3" s="38">
        <v>46054</v>
      </c>
      <c r="B3" s="14">
        <v>1940</v>
      </c>
      <c r="C3" s="14">
        <v>3800</v>
      </c>
      <c r="D3" s="14">
        <v>0</v>
      </c>
      <c r="E3" s="14">
        <v>3800</v>
      </c>
      <c r="F3" s="15">
        <f>SUM(D3-B3)</f>
        <v>-1940</v>
      </c>
      <c r="G3" s="15">
        <f>SUM(E3-C3)</f>
        <v>0</v>
      </c>
      <c r="H3" s="16">
        <v>891.66</v>
      </c>
      <c r="I3" s="17">
        <v>0</v>
      </c>
      <c r="J3" s="17">
        <v>170</v>
      </c>
      <c r="K3" s="40">
        <f t="shared" ref="K3:K33" si="0">+E3+B3</f>
        <v>5740</v>
      </c>
      <c r="L3" s="25">
        <f>SUM(B3-I3)</f>
        <v>1940</v>
      </c>
      <c r="M3" s="25">
        <f>SUM(E3-J3)</f>
        <v>3630</v>
      </c>
    </row>
    <row r="4" spans="1:14" x14ac:dyDescent="0.3">
      <c r="A4" s="38">
        <f t="shared" ref="A4:A30" si="1">+A3+1</f>
        <v>46055</v>
      </c>
      <c r="B4" s="18">
        <v>660</v>
      </c>
      <c r="C4" s="18">
        <v>620</v>
      </c>
      <c r="D4" s="18">
        <v>0</v>
      </c>
      <c r="E4" s="18">
        <v>620</v>
      </c>
      <c r="F4" s="15">
        <f>SUM(D4-B4)</f>
        <v>-660</v>
      </c>
      <c r="G4" s="15">
        <f>SUM(E4-C4)</f>
        <v>0</v>
      </c>
      <c r="H4" s="20">
        <v>115.83</v>
      </c>
      <c r="I4" s="21">
        <v>85</v>
      </c>
      <c r="J4" s="21">
        <v>0</v>
      </c>
      <c r="K4" s="40">
        <f t="shared" si="0"/>
        <v>1280</v>
      </c>
      <c r="L4" s="26">
        <f t="shared" ref="L4:L33" si="2">SUM(B4-I4)</f>
        <v>575</v>
      </c>
      <c r="M4" s="25">
        <f t="shared" ref="M4:M33" si="3">SUM(E4-J4)</f>
        <v>620</v>
      </c>
    </row>
    <row r="5" spans="1:14" x14ac:dyDescent="0.3">
      <c r="A5" s="38">
        <f t="shared" si="1"/>
        <v>46056</v>
      </c>
      <c r="B5" s="18">
        <v>1770</v>
      </c>
      <c r="C5" s="18">
        <v>4690</v>
      </c>
      <c r="D5" s="18">
        <v>0</v>
      </c>
      <c r="E5" s="18">
        <v>4690</v>
      </c>
      <c r="F5" s="15">
        <f t="shared" ref="F5:G33" si="4">SUM(D5-B5)</f>
        <v>-1770</v>
      </c>
      <c r="G5" s="15">
        <f t="shared" si="4"/>
        <v>0</v>
      </c>
      <c r="H5" s="20">
        <v>781.68</v>
      </c>
      <c r="I5" s="21">
        <v>220</v>
      </c>
      <c r="J5" s="21">
        <v>0</v>
      </c>
      <c r="K5" s="40">
        <f t="shared" si="0"/>
        <v>6460</v>
      </c>
      <c r="L5" s="26">
        <f t="shared" si="2"/>
        <v>1550</v>
      </c>
      <c r="M5" s="25">
        <f t="shared" si="3"/>
        <v>4690</v>
      </c>
    </row>
    <row r="6" spans="1:14" x14ac:dyDescent="0.3">
      <c r="A6" s="38">
        <f t="shared" si="1"/>
        <v>46057</v>
      </c>
      <c r="B6" s="18">
        <v>500</v>
      </c>
      <c r="C6" s="18">
        <v>3590</v>
      </c>
      <c r="D6" s="18">
        <v>0</v>
      </c>
      <c r="E6" s="18">
        <v>3590</v>
      </c>
      <c r="F6" s="15">
        <f t="shared" si="4"/>
        <v>-500</v>
      </c>
      <c r="G6" s="15">
        <f t="shared" si="4"/>
        <v>0</v>
      </c>
      <c r="H6" s="20">
        <v>627.51</v>
      </c>
      <c r="I6" s="21">
        <v>355</v>
      </c>
      <c r="J6" s="21">
        <v>6610</v>
      </c>
      <c r="K6" s="40">
        <f t="shared" si="0"/>
        <v>4090</v>
      </c>
      <c r="L6" s="26">
        <f t="shared" si="2"/>
        <v>145</v>
      </c>
      <c r="M6" s="25">
        <f t="shared" si="3"/>
        <v>-3020</v>
      </c>
    </row>
    <row r="7" spans="1:14" x14ac:dyDescent="0.3">
      <c r="A7" s="38">
        <f t="shared" si="1"/>
        <v>46058</v>
      </c>
      <c r="B7" s="18">
        <v>2350</v>
      </c>
      <c r="C7" s="18">
        <v>1870</v>
      </c>
      <c r="D7" s="18">
        <v>0</v>
      </c>
      <c r="E7" s="18">
        <v>1870</v>
      </c>
      <c r="F7" s="15">
        <f t="shared" si="4"/>
        <v>-2350</v>
      </c>
      <c r="G7" s="15">
        <f t="shared" si="4"/>
        <v>0</v>
      </c>
      <c r="H7" s="20">
        <v>336.67</v>
      </c>
      <c r="I7" s="21">
        <v>450</v>
      </c>
      <c r="J7" s="21">
        <v>0</v>
      </c>
      <c r="K7" s="40">
        <f t="shared" si="0"/>
        <v>4220</v>
      </c>
      <c r="L7" s="26">
        <f t="shared" si="2"/>
        <v>1900</v>
      </c>
      <c r="M7" s="25">
        <f t="shared" si="3"/>
        <v>1870</v>
      </c>
    </row>
    <row r="8" spans="1:14" x14ac:dyDescent="0.3">
      <c r="A8" s="38">
        <f t="shared" si="1"/>
        <v>46059</v>
      </c>
      <c r="B8" s="18">
        <v>1760</v>
      </c>
      <c r="C8" s="18">
        <v>1600</v>
      </c>
      <c r="D8" s="18">
        <v>0</v>
      </c>
      <c r="E8" s="18">
        <v>1600</v>
      </c>
      <c r="F8" s="15">
        <f t="shared" si="4"/>
        <v>-1760</v>
      </c>
      <c r="G8" s="15">
        <f t="shared" si="4"/>
        <v>0</v>
      </c>
      <c r="H8" s="20">
        <v>300.83</v>
      </c>
      <c r="I8" s="21">
        <v>100</v>
      </c>
      <c r="J8" s="21">
        <v>730</v>
      </c>
      <c r="K8" s="40">
        <f t="shared" si="0"/>
        <v>3360</v>
      </c>
      <c r="L8" s="26">
        <f t="shared" si="2"/>
        <v>1660</v>
      </c>
      <c r="M8" s="25">
        <f t="shared" si="3"/>
        <v>870</v>
      </c>
    </row>
    <row r="9" spans="1:14" x14ac:dyDescent="0.3">
      <c r="A9" s="38">
        <f t="shared" si="1"/>
        <v>46060</v>
      </c>
      <c r="B9" s="18">
        <v>1550</v>
      </c>
      <c r="C9" s="18">
        <v>3220</v>
      </c>
      <c r="D9" s="18">
        <v>0</v>
      </c>
      <c r="E9" s="18">
        <v>3220</v>
      </c>
      <c r="F9" s="15">
        <f t="shared" si="4"/>
        <v>-1550</v>
      </c>
      <c r="G9" s="15">
        <f t="shared" si="4"/>
        <v>0</v>
      </c>
      <c r="H9" s="20">
        <v>555.83000000000004</v>
      </c>
      <c r="I9" s="21">
        <v>100</v>
      </c>
      <c r="J9" s="21">
        <v>0</v>
      </c>
      <c r="K9" s="40">
        <f t="shared" si="0"/>
        <v>4770</v>
      </c>
      <c r="L9" s="26">
        <f t="shared" si="2"/>
        <v>1450</v>
      </c>
      <c r="M9" s="25">
        <f t="shared" si="3"/>
        <v>3220</v>
      </c>
    </row>
    <row r="10" spans="1:14" x14ac:dyDescent="0.3">
      <c r="A10" s="38">
        <f t="shared" si="1"/>
        <v>46061</v>
      </c>
      <c r="B10" s="18">
        <v>1100</v>
      </c>
      <c r="C10" s="18">
        <v>2120</v>
      </c>
      <c r="D10" s="18">
        <v>0</v>
      </c>
      <c r="E10" s="18">
        <v>2120</v>
      </c>
      <c r="F10" s="15">
        <f t="shared" si="4"/>
        <v>-1100</v>
      </c>
      <c r="G10" s="15">
        <f t="shared" si="4"/>
        <v>0</v>
      </c>
      <c r="H10" s="20">
        <v>353.34</v>
      </c>
      <c r="I10" s="21">
        <v>0</v>
      </c>
      <c r="J10" s="21">
        <v>430</v>
      </c>
      <c r="K10" s="40">
        <f t="shared" si="0"/>
        <v>3220</v>
      </c>
      <c r="L10" s="26">
        <f t="shared" si="2"/>
        <v>1100</v>
      </c>
      <c r="M10" s="25">
        <f t="shared" si="3"/>
        <v>1690</v>
      </c>
    </row>
    <row r="11" spans="1:14" x14ac:dyDescent="0.3">
      <c r="A11" s="38">
        <f t="shared" si="1"/>
        <v>46062</v>
      </c>
      <c r="B11" s="18">
        <v>945</v>
      </c>
      <c r="C11" s="18">
        <v>1950</v>
      </c>
      <c r="D11" s="18">
        <v>0</v>
      </c>
      <c r="E11" s="18">
        <v>1950</v>
      </c>
      <c r="F11" s="15">
        <f t="shared" si="4"/>
        <v>-945</v>
      </c>
      <c r="G11" s="15">
        <f t="shared" si="4"/>
        <v>0</v>
      </c>
      <c r="H11" s="20">
        <v>3250.1</v>
      </c>
      <c r="I11" s="21">
        <v>220</v>
      </c>
      <c r="J11" s="21">
        <v>0</v>
      </c>
      <c r="K11" s="40">
        <f t="shared" si="0"/>
        <v>2895</v>
      </c>
      <c r="L11" s="26">
        <f t="shared" si="2"/>
        <v>725</v>
      </c>
      <c r="M11" s="25">
        <f t="shared" si="3"/>
        <v>1950</v>
      </c>
    </row>
    <row r="12" spans="1:14" x14ac:dyDescent="0.3">
      <c r="A12" s="38">
        <f t="shared" si="1"/>
        <v>46063</v>
      </c>
      <c r="B12" s="18">
        <v>0</v>
      </c>
      <c r="C12" s="18">
        <v>2130</v>
      </c>
      <c r="D12" s="18">
        <v>0</v>
      </c>
      <c r="E12" s="18">
        <v>2130</v>
      </c>
      <c r="F12" s="15">
        <f t="shared" si="4"/>
        <v>0</v>
      </c>
      <c r="G12" s="15">
        <f t="shared" si="4"/>
        <v>0</v>
      </c>
      <c r="H12" s="20">
        <v>355</v>
      </c>
      <c r="I12" s="21">
        <v>9500</v>
      </c>
      <c r="J12" s="21">
        <v>16000</v>
      </c>
      <c r="K12" s="40">
        <f t="shared" si="0"/>
        <v>2130</v>
      </c>
      <c r="L12" s="26">
        <f t="shared" si="2"/>
        <v>-9500</v>
      </c>
      <c r="M12" s="25">
        <f t="shared" si="3"/>
        <v>-13870</v>
      </c>
      <c r="N12" t="s">
        <v>17</v>
      </c>
    </row>
    <row r="13" spans="1:14" x14ac:dyDescent="0.3">
      <c r="A13" s="38">
        <f t="shared" si="1"/>
        <v>46064</v>
      </c>
      <c r="B13" s="18">
        <v>920</v>
      </c>
      <c r="C13" s="18">
        <v>660</v>
      </c>
      <c r="D13" s="18">
        <v>0</v>
      </c>
      <c r="E13" s="18">
        <v>660</v>
      </c>
      <c r="F13" s="15">
        <f t="shared" si="4"/>
        <v>-920</v>
      </c>
      <c r="G13" s="15">
        <f t="shared" si="4"/>
        <v>0</v>
      </c>
      <c r="H13" s="20">
        <v>110.17</v>
      </c>
      <c r="I13" s="21">
        <v>1000</v>
      </c>
      <c r="J13" s="21">
        <v>2230</v>
      </c>
      <c r="K13" s="40">
        <f t="shared" si="0"/>
        <v>1580</v>
      </c>
      <c r="L13" s="26">
        <f t="shared" si="2"/>
        <v>-80</v>
      </c>
      <c r="M13" s="25">
        <f t="shared" si="3"/>
        <v>-1570</v>
      </c>
    </row>
    <row r="14" spans="1:14" x14ac:dyDescent="0.3">
      <c r="A14" s="38">
        <f t="shared" si="1"/>
        <v>46065</v>
      </c>
      <c r="B14" s="18">
        <v>1210</v>
      </c>
      <c r="C14" s="18">
        <v>5075</v>
      </c>
      <c r="D14" s="18">
        <v>0</v>
      </c>
      <c r="E14" s="18">
        <v>5075</v>
      </c>
      <c r="F14" s="15">
        <f t="shared" si="4"/>
        <v>-1210</v>
      </c>
      <c r="G14" s="15">
        <f t="shared" si="4"/>
        <v>0</v>
      </c>
      <c r="H14" s="20">
        <v>851.67</v>
      </c>
      <c r="I14" s="21">
        <v>100</v>
      </c>
      <c r="J14" s="21">
        <v>200</v>
      </c>
      <c r="K14" s="40">
        <f t="shared" si="0"/>
        <v>6285</v>
      </c>
      <c r="L14" s="26">
        <f t="shared" si="2"/>
        <v>1110</v>
      </c>
      <c r="M14" s="25">
        <f t="shared" si="3"/>
        <v>4875</v>
      </c>
    </row>
    <row r="15" spans="1:14" x14ac:dyDescent="0.3">
      <c r="A15" s="38">
        <f t="shared" si="1"/>
        <v>46066</v>
      </c>
      <c r="B15" s="18">
        <v>100</v>
      </c>
      <c r="C15" s="18">
        <v>6830</v>
      </c>
      <c r="D15" s="18">
        <v>0</v>
      </c>
      <c r="E15" s="18">
        <v>6830</v>
      </c>
      <c r="F15" s="15">
        <f t="shared" si="4"/>
        <v>-100</v>
      </c>
      <c r="G15" s="15">
        <f t="shared" si="4"/>
        <v>0</v>
      </c>
      <c r="H15" s="20">
        <v>1138.33</v>
      </c>
      <c r="I15" s="21">
        <v>400</v>
      </c>
      <c r="J15" s="21">
        <v>0</v>
      </c>
      <c r="K15" s="40">
        <f t="shared" si="0"/>
        <v>6930</v>
      </c>
      <c r="L15" s="26">
        <f t="shared" si="2"/>
        <v>-300</v>
      </c>
      <c r="M15" s="25">
        <f t="shared" si="3"/>
        <v>6830</v>
      </c>
    </row>
    <row r="16" spans="1:14" x14ac:dyDescent="0.3">
      <c r="A16" s="38">
        <f t="shared" si="1"/>
        <v>46067</v>
      </c>
      <c r="B16" s="18">
        <v>3200</v>
      </c>
      <c r="C16" s="18">
        <v>7640</v>
      </c>
      <c r="D16" s="18">
        <v>0</v>
      </c>
      <c r="E16" s="18">
        <v>7640</v>
      </c>
      <c r="F16" s="15">
        <f t="shared" si="4"/>
        <v>-3200</v>
      </c>
      <c r="G16" s="15">
        <f t="shared" si="4"/>
        <v>0</v>
      </c>
      <c r="H16" s="20">
        <v>1304.17</v>
      </c>
      <c r="I16" s="21">
        <v>275</v>
      </c>
      <c r="J16" s="21">
        <v>665</v>
      </c>
      <c r="K16" s="40">
        <f t="shared" si="0"/>
        <v>10840</v>
      </c>
      <c r="L16" s="26">
        <f t="shared" si="2"/>
        <v>2925</v>
      </c>
      <c r="M16" s="25">
        <f t="shared" si="3"/>
        <v>6975</v>
      </c>
    </row>
    <row r="17" spans="1:14" x14ac:dyDescent="0.3">
      <c r="A17" s="38">
        <f t="shared" si="1"/>
        <v>46068</v>
      </c>
      <c r="B17" s="18">
        <v>900</v>
      </c>
      <c r="C17" s="18">
        <v>3105</v>
      </c>
      <c r="D17" s="18">
        <v>0</v>
      </c>
      <c r="E17" s="18">
        <v>3105</v>
      </c>
      <c r="F17" s="15">
        <f t="shared" si="4"/>
        <v>-900</v>
      </c>
      <c r="G17" s="15">
        <f t="shared" si="4"/>
        <v>0</v>
      </c>
      <c r="H17" s="20">
        <v>517.51</v>
      </c>
      <c r="I17" s="21">
        <v>550</v>
      </c>
      <c r="J17" s="21">
        <v>300</v>
      </c>
      <c r="K17" s="40">
        <f t="shared" si="0"/>
        <v>4005</v>
      </c>
      <c r="L17" s="26">
        <f t="shared" si="2"/>
        <v>350</v>
      </c>
      <c r="M17" s="25">
        <f t="shared" si="3"/>
        <v>2805</v>
      </c>
    </row>
    <row r="18" spans="1:14" x14ac:dyDescent="0.3">
      <c r="A18" s="38">
        <f t="shared" si="1"/>
        <v>46069</v>
      </c>
      <c r="B18" s="18">
        <v>1100</v>
      </c>
      <c r="C18" s="18">
        <v>750</v>
      </c>
      <c r="D18" s="18">
        <v>0</v>
      </c>
      <c r="E18" s="18">
        <v>750</v>
      </c>
      <c r="F18" s="15">
        <f t="shared" si="4"/>
        <v>-1100</v>
      </c>
      <c r="G18" s="15">
        <f t="shared" si="4"/>
        <v>0</v>
      </c>
      <c r="H18" s="20">
        <v>125</v>
      </c>
      <c r="I18" s="21">
        <v>400</v>
      </c>
      <c r="J18" s="21">
        <v>0</v>
      </c>
      <c r="K18" s="40">
        <f t="shared" si="0"/>
        <v>1850</v>
      </c>
      <c r="L18" s="26">
        <f t="shared" si="2"/>
        <v>700</v>
      </c>
      <c r="M18" s="25">
        <f t="shared" si="3"/>
        <v>750</v>
      </c>
    </row>
    <row r="19" spans="1:14" x14ac:dyDescent="0.3">
      <c r="A19" s="38">
        <f t="shared" si="1"/>
        <v>46070</v>
      </c>
      <c r="B19" s="18">
        <v>50</v>
      </c>
      <c r="C19" s="18">
        <v>1510</v>
      </c>
      <c r="D19" s="18">
        <v>0</v>
      </c>
      <c r="E19" s="18">
        <v>1510</v>
      </c>
      <c r="F19" s="15">
        <f t="shared" si="4"/>
        <v>-50</v>
      </c>
      <c r="G19" s="15">
        <f t="shared" si="4"/>
        <v>0</v>
      </c>
      <c r="H19" s="20">
        <v>285</v>
      </c>
      <c r="I19" s="21">
        <v>0</v>
      </c>
      <c r="J19" s="21">
        <v>385</v>
      </c>
      <c r="K19" s="40">
        <f t="shared" si="0"/>
        <v>1560</v>
      </c>
      <c r="L19" s="26">
        <f t="shared" si="2"/>
        <v>50</v>
      </c>
      <c r="M19" s="25">
        <f t="shared" si="3"/>
        <v>1125</v>
      </c>
    </row>
    <row r="20" spans="1:14" x14ac:dyDescent="0.3">
      <c r="A20" s="38">
        <f t="shared" si="1"/>
        <v>46071</v>
      </c>
      <c r="B20" s="18">
        <v>1700</v>
      </c>
      <c r="C20" s="18">
        <v>1900</v>
      </c>
      <c r="D20" s="18">
        <v>0</v>
      </c>
      <c r="E20" s="18">
        <v>1900</v>
      </c>
      <c r="F20" s="15">
        <f t="shared" si="4"/>
        <v>-1700</v>
      </c>
      <c r="G20" s="15">
        <f t="shared" si="4"/>
        <v>0</v>
      </c>
      <c r="H20" s="20">
        <v>316.66000000000003</v>
      </c>
      <c r="I20" s="21">
        <v>250</v>
      </c>
      <c r="J20" s="21">
        <v>0</v>
      </c>
      <c r="K20" s="40">
        <f t="shared" si="0"/>
        <v>3600</v>
      </c>
      <c r="L20" s="26">
        <f t="shared" si="2"/>
        <v>1450</v>
      </c>
      <c r="M20" s="25">
        <f t="shared" si="3"/>
        <v>1900</v>
      </c>
    </row>
    <row r="21" spans="1:14" x14ac:dyDescent="0.3">
      <c r="A21" s="38">
        <f t="shared" si="1"/>
        <v>46072</v>
      </c>
      <c r="B21" s="18">
        <v>2350</v>
      </c>
      <c r="C21" s="18">
        <v>3200</v>
      </c>
      <c r="D21" s="18">
        <v>0</v>
      </c>
      <c r="E21" s="18">
        <v>3200</v>
      </c>
      <c r="F21" s="15">
        <f t="shared" si="4"/>
        <v>-2350</v>
      </c>
      <c r="G21" s="15">
        <f t="shared" si="4"/>
        <v>0</v>
      </c>
      <c r="H21" s="20">
        <v>533.34</v>
      </c>
      <c r="I21" s="21">
        <v>280</v>
      </c>
      <c r="J21" s="21">
        <v>1390</v>
      </c>
      <c r="K21" s="40">
        <f t="shared" si="0"/>
        <v>5550</v>
      </c>
      <c r="L21" s="26">
        <f t="shared" si="2"/>
        <v>2070</v>
      </c>
      <c r="M21" s="25">
        <f t="shared" si="3"/>
        <v>1810</v>
      </c>
    </row>
    <row r="22" spans="1:14" x14ac:dyDescent="0.3">
      <c r="A22" s="38">
        <f t="shared" si="1"/>
        <v>46073</v>
      </c>
      <c r="B22" s="18">
        <v>450</v>
      </c>
      <c r="C22" s="18">
        <v>650</v>
      </c>
      <c r="D22" s="18">
        <v>0</v>
      </c>
      <c r="E22" s="18">
        <v>650</v>
      </c>
      <c r="F22" s="15">
        <f t="shared" si="4"/>
        <v>-450</v>
      </c>
      <c r="G22" s="15">
        <f t="shared" si="4"/>
        <v>0</v>
      </c>
      <c r="H22" s="20">
        <v>108.33</v>
      </c>
      <c r="I22" s="21">
        <v>350</v>
      </c>
      <c r="J22" s="21">
        <v>0</v>
      </c>
      <c r="K22" s="40">
        <f t="shared" si="0"/>
        <v>1100</v>
      </c>
      <c r="L22" s="26">
        <f t="shared" si="2"/>
        <v>100</v>
      </c>
      <c r="M22" s="25">
        <f t="shared" si="3"/>
        <v>650</v>
      </c>
    </row>
    <row r="23" spans="1:14" x14ac:dyDescent="0.3">
      <c r="A23" s="38">
        <f t="shared" si="1"/>
        <v>46074</v>
      </c>
      <c r="B23" s="18">
        <v>1050</v>
      </c>
      <c r="C23" s="18">
        <v>7560</v>
      </c>
      <c r="D23" s="18">
        <v>0</v>
      </c>
      <c r="E23" s="18">
        <v>7560</v>
      </c>
      <c r="F23" s="15">
        <f t="shared" si="4"/>
        <v>-1050</v>
      </c>
      <c r="G23" s="15">
        <f t="shared" si="4"/>
        <v>0</v>
      </c>
      <c r="H23" s="20">
        <v>1290</v>
      </c>
      <c r="I23" s="21">
        <v>365</v>
      </c>
      <c r="J23" s="21">
        <v>3920</v>
      </c>
      <c r="K23" s="40">
        <f t="shared" si="0"/>
        <v>8610</v>
      </c>
      <c r="L23" s="26">
        <f t="shared" si="2"/>
        <v>685</v>
      </c>
      <c r="M23" s="25">
        <f t="shared" si="3"/>
        <v>3640</v>
      </c>
    </row>
    <row r="24" spans="1:14" x14ac:dyDescent="0.3">
      <c r="A24" s="38">
        <f t="shared" si="1"/>
        <v>46075</v>
      </c>
      <c r="B24" s="18">
        <v>1230</v>
      </c>
      <c r="C24" s="18">
        <v>135</v>
      </c>
      <c r="D24" s="18">
        <v>0</v>
      </c>
      <c r="E24" s="18">
        <v>135</v>
      </c>
      <c r="F24" s="15">
        <f t="shared" si="4"/>
        <v>-1230</v>
      </c>
      <c r="G24" s="15">
        <f t="shared" si="4"/>
        <v>0</v>
      </c>
      <c r="H24" s="20">
        <v>47.5</v>
      </c>
      <c r="I24" s="21">
        <v>1700</v>
      </c>
      <c r="J24" s="21">
        <v>115</v>
      </c>
      <c r="K24" s="40">
        <f t="shared" si="0"/>
        <v>1365</v>
      </c>
      <c r="L24" s="26">
        <f t="shared" si="2"/>
        <v>-470</v>
      </c>
      <c r="M24" s="25">
        <f t="shared" si="3"/>
        <v>20</v>
      </c>
    </row>
    <row r="25" spans="1:14" x14ac:dyDescent="0.3">
      <c r="A25" s="38">
        <f t="shared" si="1"/>
        <v>46076</v>
      </c>
      <c r="B25" s="18">
        <v>1250</v>
      </c>
      <c r="C25" s="18">
        <v>690</v>
      </c>
      <c r="D25" s="18">
        <v>0</v>
      </c>
      <c r="E25" s="18">
        <v>690</v>
      </c>
      <c r="F25" s="15">
        <f t="shared" si="4"/>
        <v>-1250</v>
      </c>
      <c r="G25" s="15">
        <f t="shared" si="4"/>
        <v>0</v>
      </c>
      <c r="H25" s="20">
        <v>115</v>
      </c>
      <c r="I25" s="21">
        <v>700</v>
      </c>
      <c r="J25" s="21">
        <v>13690</v>
      </c>
      <c r="K25" s="40">
        <f t="shared" si="0"/>
        <v>1940</v>
      </c>
      <c r="L25" s="26">
        <f t="shared" si="2"/>
        <v>550</v>
      </c>
      <c r="M25" s="25">
        <f t="shared" si="3"/>
        <v>-13000</v>
      </c>
      <c r="N25" t="s">
        <v>18</v>
      </c>
    </row>
    <row r="26" spans="1:14" x14ac:dyDescent="0.3">
      <c r="A26" s="38">
        <f t="shared" si="1"/>
        <v>46077</v>
      </c>
      <c r="B26" s="18">
        <v>110</v>
      </c>
      <c r="C26" s="18">
        <v>3510</v>
      </c>
      <c r="D26" s="18">
        <v>0</v>
      </c>
      <c r="E26" s="18">
        <v>3510</v>
      </c>
      <c r="F26" s="15">
        <f t="shared" si="4"/>
        <v>-110</v>
      </c>
      <c r="G26" s="15">
        <f t="shared" si="4"/>
        <v>0</v>
      </c>
      <c r="H26" s="20">
        <v>584.99</v>
      </c>
      <c r="I26" s="21">
        <v>300</v>
      </c>
      <c r="J26" s="21">
        <v>0</v>
      </c>
      <c r="K26" s="40">
        <f t="shared" si="0"/>
        <v>3620</v>
      </c>
      <c r="L26" s="26">
        <f t="shared" si="2"/>
        <v>-190</v>
      </c>
      <c r="M26" s="25">
        <f t="shared" si="3"/>
        <v>3510</v>
      </c>
    </row>
    <row r="27" spans="1:14" x14ac:dyDescent="0.3">
      <c r="A27" s="38">
        <f t="shared" si="1"/>
        <v>46078</v>
      </c>
      <c r="B27" s="18">
        <v>1300</v>
      </c>
      <c r="C27" s="18">
        <v>1565</v>
      </c>
      <c r="D27" s="18">
        <v>0</v>
      </c>
      <c r="E27" s="18">
        <v>1565</v>
      </c>
      <c r="F27" s="15">
        <f t="shared" si="4"/>
        <v>-1300</v>
      </c>
      <c r="G27" s="15">
        <f t="shared" si="4"/>
        <v>0</v>
      </c>
      <c r="H27" s="20">
        <v>260.33</v>
      </c>
      <c r="I27" s="21">
        <v>100</v>
      </c>
      <c r="J27" s="21">
        <v>255</v>
      </c>
      <c r="K27" s="40">
        <f t="shared" si="0"/>
        <v>2865</v>
      </c>
      <c r="L27" s="26">
        <f t="shared" si="2"/>
        <v>1200</v>
      </c>
      <c r="M27" s="25">
        <f t="shared" si="3"/>
        <v>1310</v>
      </c>
    </row>
    <row r="28" spans="1:14" x14ac:dyDescent="0.3">
      <c r="A28" s="38">
        <f t="shared" si="1"/>
        <v>46079</v>
      </c>
      <c r="B28" s="18">
        <v>470</v>
      </c>
      <c r="C28" s="18">
        <v>4260</v>
      </c>
      <c r="D28" s="18">
        <v>0</v>
      </c>
      <c r="E28" s="18">
        <v>4260</v>
      </c>
      <c r="F28" s="15">
        <f t="shared" si="4"/>
        <v>-470</v>
      </c>
      <c r="G28" s="15">
        <f t="shared" si="4"/>
        <v>0</v>
      </c>
      <c r="H28" s="20">
        <v>710</v>
      </c>
      <c r="I28" s="21">
        <v>50</v>
      </c>
      <c r="J28" s="21">
        <v>305</v>
      </c>
      <c r="K28" s="40">
        <f t="shared" si="0"/>
        <v>4730</v>
      </c>
      <c r="L28" s="26">
        <f t="shared" si="2"/>
        <v>420</v>
      </c>
      <c r="M28" s="25">
        <f t="shared" si="3"/>
        <v>3955</v>
      </c>
    </row>
    <row r="29" spans="1:14" x14ac:dyDescent="0.3">
      <c r="A29" s="38">
        <f t="shared" si="1"/>
        <v>46080</v>
      </c>
      <c r="B29" s="18">
        <v>750</v>
      </c>
      <c r="C29" s="18">
        <v>3580</v>
      </c>
      <c r="D29" s="18">
        <v>0</v>
      </c>
      <c r="E29" s="18">
        <v>3580</v>
      </c>
      <c r="F29" s="15">
        <f t="shared" si="4"/>
        <v>-750</v>
      </c>
      <c r="G29" s="15">
        <f t="shared" si="4"/>
        <v>0</v>
      </c>
      <c r="H29" s="20">
        <v>596.66999999999996</v>
      </c>
      <c r="I29" s="21">
        <v>350</v>
      </c>
      <c r="J29" s="21">
        <v>8655</v>
      </c>
      <c r="K29" s="40">
        <f t="shared" si="0"/>
        <v>4330</v>
      </c>
      <c r="L29" s="26">
        <f t="shared" si="2"/>
        <v>400</v>
      </c>
      <c r="M29" s="25">
        <f t="shared" si="3"/>
        <v>-5075</v>
      </c>
    </row>
    <row r="30" spans="1:14" x14ac:dyDescent="0.3">
      <c r="A30" s="38">
        <f t="shared" si="1"/>
        <v>46081</v>
      </c>
      <c r="B30" s="18">
        <v>0</v>
      </c>
      <c r="C30" s="18">
        <v>1740</v>
      </c>
      <c r="D30" s="18">
        <v>0</v>
      </c>
      <c r="E30" s="18">
        <v>1740</v>
      </c>
      <c r="F30" s="15">
        <f t="shared" si="4"/>
        <v>0</v>
      </c>
      <c r="G30" s="15">
        <f t="shared" si="4"/>
        <v>0</v>
      </c>
      <c r="H30" s="20">
        <v>290</v>
      </c>
      <c r="I30" s="21">
        <v>40</v>
      </c>
      <c r="J30" s="21">
        <v>1990</v>
      </c>
      <c r="K30" s="40">
        <f t="shared" si="0"/>
        <v>1740</v>
      </c>
      <c r="L30" s="26">
        <f t="shared" si="2"/>
        <v>-40</v>
      </c>
      <c r="M30" s="25">
        <f t="shared" si="3"/>
        <v>-250</v>
      </c>
    </row>
    <row r="31" spans="1:14" x14ac:dyDescent="0.3">
      <c r="A31" s="38"/>
      <c r="B31" s="18"/>
      <c r="C31" s="18"/>
      <c r="D31" s="18">
        <v>0</v>
      </c>
      <c r="E31" s="18"/>
      <c r="F31" s="15">
        <f t="shared" si="4"/>
        <v>0</v>
      </c>
      <c r="G31" s="15">
        <f t="shared" si="4"/>
        <v>0</v>
      </c>
      <c r="H31" s="20"/>
      <c r="I31" s="21"/>
      <c r="J31" s="21"/>
      <c r="K31" s="40">
        <f t="shared" si="0"/>
        <v>0</v>
      </c>
      <c r="L31" s="26">
        <f t="shared" si="2"/>
        <v>0</v>
      </c>
      <c r="M31" s="25">
        <f t="shared" si="3"/>
        <v>0</v>
      </c>
    </row>
    <row r="32" spans="1:14" x14ac:dyDescent="0.3">
      <c r="A32" s="38"/>
      <c r="B32" s="18"/>
      <c r="C32" s="18"/>
      <c r="D32" s="18"/>
      <c r="E32" s="18"/>
      <c r="F32" s="15">
        <f t="shared" si="4"/>
        <v>0</v>
      </c>
      <c r="G32" s="15">
        <f t="shared" si="4"/>
        <v>0</v>
      </c>
      <c r="H32" s="20"/>
      <c r="I32" s="21"/>
      <c r="J32" s="21"/>
      <c r="K32" s="40">
        <f t="shared" si="0"/>
        <v>0</v>
      </c>
      <c r="L32" s="26">
        <f t="shared" si="2"/>
        <v>0</v>
      </c>
      <c r="M32" s="25">
        <f t="shared" si="3"/>
        <v>0</v>
      </c>
    </row>
    <row r="33" spans="1:14" x14ac:dyDescent="0.3">
      <c r="A33" s="38"/>
      <c r="B33" s="18"/>
      <c r="C33" s="18"/>
      <c r="D33" s="18"/>
      <c r="E33" s="18"/>
      <c r="F33" s="15">
        <f t="shared" si="4"/>
        <v>0</v>
      </c>
      <c r="G33" s="15">
        <f t="shared" si="4"/>
        <v>0</v>
      </c>
      <c r="H33" s="20"/>
      <c r="I33" s="21"/>
      <c r="J33" s="33"/>
      <c r="K33" s="40">
        <f t="shared" si="0"/>
        <v>0</v>
      </c>
      <c r="L33" s="26">
        <f t="shared" si="2"/>
        <v>0</v>
      </c>
      <c r="M33" s="25">
        <f t="shared" si="3"/>
        <v>0</v>
      </c>
    </row>
    <row r="34" spans="1:14" s="8" customFormat="1" ht="27.6" customHeight="1" x14ac:dyDescent="0.35">
      <c r="A34" s="24" t="s">
        <v>4</v>
      </c>
      <c r="B34" s="24">
        <f t="shared" ref="B34:M34" si="5">SUM(B3:B33)</f>
        <v>30715</v>
      </c>
      <c r="C34" s="24">
        <f t="shared" si="5"/>
        <v>79950</v>
      </c>
      <c r="D34" s="24">
        <f t="shared" si="5"/>
        <v>0</v>
      </c>
      <c r="E34" s="24">
        <f t="shared" si="5"/>
        <v>79950</v>
      </c>
      <c r="F34" s="15">
        <f t="shared" si="5"/>
        <v>-30715</v>
      </c>
      <c r="G34" s="23">
        <f t="shared" si="5"/>
        <v>0</v>
      </c>
      <c r="H34" s="24">
        <f t="shared" si="5"/>
        <v>16753.12</v>
      </c>
      <c r="I34" s="24">
        <f t="shared" si="5"/>
        <v>18240</v>
      </c>
      <c r="J34" s="24">
        <f t="shared" si="5"/>
        <v>58040</v>
      </c>
      <c r="K34" s="32">
        <f t="shared" si="5"/>
        <v>110665</v>
      </c>
      <c r="L34" s="27">
        <f t="shared" si="5"/>
        <v>12475</v>
      </c>
      <c r="M34" s="27">
        <f t="shared" si="5"/>
        <v>21910</v>
      </c>
      <c r="N34" s="13"/>
    </row>
    <row r="35" spans="1:14" x14ac:dyDescent="0.3">
      <c r="K35" s="37">
        <f>AVERAGE(K3:K33)</f>
        <v>3569.8387096774195</v>
      </c>
    </row>
    <row r="37" spans="1:14" ht="18" x14ac:dyDescent="0.3">
      <c r="G37" s="51" t="s">
        <v>14</v>
      </c>
      <c r="H37" s="51"/>
      <c r="I37" s="12">
        <f>SUM(K3:K33)</f>
        <v>110665</v>
      </c>
    </row>
    <row r="38" spans="1:14" ht="11.4" customHeight="1" x14ac:dyDescent="0.3">
      <c r="G38" s="51" t="s">
        <v>16</v>
      </c>
      <c r="H38" s="51"/>
      <c r="I38" s="12">
        <f>SUM(+I34+J34)</f>
        <v>76280</v>
      </c>
    </row>
    <row r="39" spans="1:14" ht="18" x14ac:dyDescent="0.3">
      <c r="G39" s="51" t="s">
        <v>15</v>
      </c>
      <c r="H39" s="51"/>
      <c r="I39" s="12">
        <f>SUM(L34+M34)</f>
        <v>34385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topLeftCell="A20" workbookViewId="0">
      <selection activeCell="J34" sqref="J34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5" ht="16.2" hidden="1" thickBot="1" x14ac:dyDescent="0.35"/>
    <row r="2" spans="1:15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9" t="s">
        <v>3</v>
      </c>
      <c r="L2" s="11" t="s">
        <v>12</v>
      </c>
      <c r="M2" s="11" t="s">
        <v>13</v>
      </c>
    </row>
    <row r="3" spans="1:15" x14ac:dyDescent="0.3">
      <c r="A3" s="38">
        <v>46023</v>
      </c>
      <c r="B3" s="14">
        <v>700</v>
      </c>
      <c r="C3" s="14">
        <v>1930</v>
      </c>
      <c r="D3" s="14">
        <v>700</v>
      </c>
      <c r="E3" s="14">
        <v>1930</v>
      </c>
      <c r="F3" s="15">
        <f>SUM(D3-B3)</f>
        <v>0</v>
      </c>
      <c r="G3" s="15">
        <f>SUM(E3-C3)</f>
        <v>0</v>
      </c>
      <c r="H3" s="16">
        <v>321.67</v>
      </c>
      <c r="I3" s="17">
        <f>200+100+7000</f>
        <v>7300</v>
      </c>
      <c r="J3" s="17">
        <v>8000</v>
      </c>
      <c r="K3" s="40">
        <f t="shared" ref="K3:K33" si="0">+E3+B3</f>
        <v>2630</v>
      </c>
      <c r="L3" s="25">
        <f>SUM(B3-I3)</f>
        <v>-6600</v>
      </c>
      <c r="M3" s="25">
        <f>SUM(E3-J3)</f>
        <v>-6070</v>
      </c>
      <c r="N3" s="45">
        <f t="shared" ref="N3:N31" si="1">+(C3*0.2)/1.2</f>
        <v>321.66666666666669</v>
      </c>
    </row>
    <row r="4" spans="1:15" x14ac:dyDescent="0.3">
      <c r="A4" s="38">
        <f t="shared" ref="A4:A33" si="2">+A3+1</f>
        <v>46024</v>
      </c>
      <c r="B4" s="18">
        <v>400</v>
      </c>
      <c r="C4" s="18">
        <v>3300</v>
      </c>
      <c r="D4" s="18">
        <v>0</v>
      </c>
      <c r="E4" s="18">
        <v>3300</v>
      </c>
      <c r="F4" s="15">
        <f>SUM(D4-B4)</f>
        <v>-400</v>
      </c>
      <c r="G4" s="15">
        <f>SUM(E4-C4)</f>
        <v>0</v>
      </c>
      <c r="H4" s="20">
        <v>550</v>
      </c>
      <c r="I4" s="21">
        <v>100</v>
      </c>
      <c r="J4" s="21">
        <v>0</v>
      </c>
      <c r="K4" s="40">
        <f t="shared" si="0"/>
        <v>3700</v>
      </c>
      <c r="L4" s="26">
        <f t="shared" ref="L4:L33" si="3">SUM(B4-I4)</f>
        <v>300</v>
      </c>
      <c r="M4" s="25">
        <f t="shared" ref="M4:M33" si="4">SUM(E4-J4)</f>
        <v>3300</v>
      </c>
      <c r="N4" s="45">
        <f t="shared" si="1"/>
        <v>550</v>
      </c>
    </row>
    <row r="5" spans="1:15" x14ac:dyDescent="0.3">
      <c r="A5" s="38">
        <f t="shared" si="2"/>
        <v>46025</v>
      </c>
      <c r="B5" s="18">
        <v>1000</v>
      </c>
      <c r="C5" s="18">
        <v>1380</v>
      </c>
      <c r="D5" s="18">
        <v>0</v>
      </c>
      <c r="E5" s="18">
        <v>1380</v>
      </c>
      <c r="F5" s="15">
        <f t="shared" ref="F5:G33" si="5">SUM(D5-B5)</f>
        <v>-1000</v>
      </c>
      <c r="G5" s="15">
        <f t="shared" si="5"/>
        <v>0</v>
      </c>
      <c r="H5" s="20">
        <v>180.01</v>
      </c>
      <c r="I5" s="21">
        <v>870</v>
      </c>
      <c r="J5" s="21">
        <v>0</v>
      </c>
      <c r="K5" s="40">
        <f t="shared" si="0"/>
        <v>2380</v>
      </c>
      <c r="L5" s="26">
        <f t="shared" si="3"/>
        <v>130</v>
      </c>
      <c r="M5" s="25">
        <f t="shared" si="4"/>
        <v>1380</v>
      </c>
      <c r="N5" s="45">
        <f t="shared" si="1"/>
        <v>230</v>
      </c>
      <c r="O5" t="s">
        <v>32</v>
      </c>
    </row>
    <row r="6" spans="1:15" x14ac:dyDescent="0.3">
      <c r="A6" s="38">
        <f t="shared" si="2"/>
        <v>46026</v>
      </c>
      <c r="B6" s="18">
        <v>1400</v>
      </c>
      <c r="C6" s="18">
        <v>1180</v>
      </c>
      <c r="D6" s="18">
        <v>0</v>
      </c>
      <c r="E6" s="18">
        <v>1180</v>
      </c>
      <c r="F6" s="15">
        <f t="shared" si="5"/>
        <v>-1400</v>
      </c>
      <c r="G6" s="15">
        <f t="shared" si="5"/>
        <v>0</v>
      </c>
      <c r="H6" s="20">
        <v>196.67</v>
      </c>
      <c r="I6" s="21">
        <v>0</v>
      </c>
      <c r="J6" s="21">
        <v>3845</v>
      </c>
      <c r="K6" s="40">
        <f t="shared" si="0"/>
        <v>2580</v>
      </c>
      <c r="L6" s="26">
        <f t="shared" si="3"/>
        <v>1400</v>
      </c>
      <c r="M6" s="25">
        <f t="shared" si="4"/>
        <v>-2665</v>
      </c>
      <c r="N6" s="45">
        <f t="shared" si="1"/>
        <v>196.66666666666669</v>
      </c>
    </row>
    <row r="7" spans="1:15" x14ac:dyDescent="0.3">
      <c r="A7" s="38">
        <f t="shared" si="2"/>
        <v>46027</v>
      </c>
      <c r="B7" s="18">
        <v>300</v>
      </c>
      <c r="C7" s="18">
        <v>1340</v>
      </c>
      <c r="D7" s="18">
        <v>0</v>
      </c>
      <c r="E7" s="18">
        <v>1340</v>
      </c>
      <c r="F7" s="15">
        <f t="shared" si="5"/>
        <v>-300</v>
      </c>
      <c r="G7" s="15">
        <f t="shared" si="5"/>
        <v>0</v>
      </c>
      <c r="H7" s="20">
        <v>223.33</v>
      </c>
      <c r="I7" s="21">
        <v>270</v>
      </c>
      <c r="J7" s="21">
        <v>0</v>
      </c>
      <c r="K7" s="40">
        <f t="shared" si="0"/>
        <v>1640</v>
      </c>
      <c r="L7" s="26">
        <f t="shared" si="3"/>
        <v>30</v>
      </c>
      <c r="M7" s="25">
        <f t="shared" si="4"/>
        <v>1340</v>
      </c>
      <c r="N7" s="45">
        <f t="shared" si="1"/>
        <v>223.33333333333334</v>
      </c>
    </row>
    <row r="8" spans="1:15" x14ac:dyDescent="0.3">
      <c r="A8" s="38">
        <f t="shared" si="2"/>
        <v>46028</v>
      </c>
      <c r="B8" s="18">
        <v>2000</v>
      </c>
      <c r="C8" s="18">
        <v>1980</v>
      </c>
      <c r="D8" s="18">
        <v>0</v>
      </c>
      <c r="E8" s="18">
        <v>1980</v>
      </c>
      <c r="F8" s="15">
        <f t="shared" si="5"/>
        <v>-2000</v>
      </c>
      <c r="G8" s="15">
        <f t="shared" si="5"/>
        <v>0</v>
      </c>
      <c r="H8" s="20">
        <v>213.33</v>
      </c>
      <c r="I8" s="21">
        <v>970</v>
      </c>
      <c r="J8" s="21">
        <v>190</v>
      </c>
      <c r="K8" s="40">
        <f t="shared" si="0"/>
        <v>3980</v>
      </c>
      <c r="L8" s="26">
        <f t="shared" si="3"/>
        <v>1030</v>
      </c>
      <c r="M8" s="25">
        <f t="shared" si="4"/>
        <v>1790</v>
      </c>
      <c r="N8" s="45">
        <f t="shared" si="1"/>
        <v>330</v>
      </c>
      <c r="O8" t="s">
        <v>32</v>
      </c>
    </row>
    <row r="9" spans="1:15" x14ac:dyDescent="0.3">
      <c r="A9" s="38">
        <f t="shared" si="2"/>
        <v>46029</v>
      </c>
      <c r="B9" s="18">
        <v>700</v>
      </c>
      <c r="C9" s="18">
        <v>2570</v>
      </c>
      <c r="D9" s="18">
        <v>0</v>
      </c>
      <c r="E9" s="18">
        <v>2570</v>
      </c>
      <c r="F9" s="15">
        <f t="shared" si="5"/>
        <v>-700</v>
      </c>
      <c r="G9" s="15">
        <f t="shared" si="5"/>
        <v>0</v>
      </c>
      <c r="H9" s="20">
        <v>428.33</v>
      </c>
      <c r="I9" s="21">
        <v>205</v>
      </c>
      <c r="J9" s="21">
        <v>0</v>
      </c>
      <c r="K9" s="40">
        <f t="shared" si="0"/>
        <v>3270</v>
      </c>
      <c r="L9" s="26">
        <f t="shared" si="3"/>
        <v>495</v>
      </c>
      <c r="M9" s="25">
        <f t="shared" si="4"/>
        <v>2570</v>
      </c>
      <c r="N9" s="45">
        <f t="shared" si="1"/>
        <v>428.33333333333337</v>
      </c>
    </row>
    <row r="10" spans="1:15" x14ac:dyDescent="0.3">
      <c r="A10" s="38">
        <f t="shared" si="2"/>
        <v>46030</v>
      </c>
      <c r="B10" s="18">
        <v>1400</v>
      </c>
      <c r="C10" s="18">
        <v>9200</v>
      </c>
      <c r="D10" s="18">
        <v>0</v>
      </c>
      <c r="E10" s="18">
        <v>9200</v>
      </c>
      <c r="F10" s="15">
        <f t="shared" si="5"/>
        <v>-1400</v>
      </c>
      <c r="G10" s="15">
        <f t="shared" si="5"/>
        <v>0</v>
      </c>
      <c r="H10" s="20">
        <v>1533.33</v>
      </c>
      <c r="I10" s="21">
        <v>420</v>
      </c>
      <c r="J10" s="21">
        <v>0</v>
      </c>
      <c r="K10" s="40">
        <f t="shared" si="0"/>
        <v>10600</v>
      </c>
      <c r="L10" s="26">
        <f t="shared" si="3"/>
        <v>980</v>
      </c>
      <c r="M10" s="25">
        <f t="shared" si="4"/>
        <v>9200</v>
      </c>
      <c r="N10" s="45">
        <f t="shared" si="1"/>
        <v>1533.3333333333335</v>
      </c>
    </row>
    <row r="11" spans="1:15" x14ac:dyDescent="0.3">
      <c r="A11" s="38">
        <f t="shared" si="2"/>
        <v>46031</v>
      </c>
      <c r="B11" s="18">
        <v>2130</v>
      </c>
      <c r="C11" s="18">
        <v>2750</v>
      </c>
      <c r="D11" s="18">
        <v>0</v>
      </c>
      <c r="E11" s="18">
        <v>2750</v>
      </c>
      <c r="F11" s="15">
        <f t="shared" si="5"/>
        <v>-2130</v>
      </c>
      <c r="G11" s="15">
        <f t="shared" si="5"/>
        <v>0</v>
      </c>
      <c r="H11" s="20">
        <v>504.16</v>
      </c>
      <c r="I11" s="21">
        <v>340</v>
      </c>
      <c r="J11" s="21">
        <v>80</v>
      </c>
      <c r="K11" s="40">
        <f t="shared" si="0"/>
        <v>4880</v>
      </c>
      <c r="L11" s="26">
        <f t="shared" si="3"/>
        <v>1790</v>
      </c>
      <c r="M11" s="25">
        <f t="shared" si="4"/>
        <v>2670</v>
      </c>
      <c r="N11" s="45">
        <f t="shared" si="1"/>
        <v>458.33333333333337</v>
      </c>
      <c r="O11" t="s">
        <v>32</v>
      </c>
    </row>
    <row r="12" spans="1:15" x14ac:dyDescent="0.3">
      <c r="A12" s="38">
        <f t="shared" si="2"/>
        <v>46032</v>
      </c>
      <c r="B12" s="18">
        <v>0</v>
      </c>
      <c r="C12" s="18">
        <v>4870</v>
      </c>
      <c r="D12" s="18">
        <v>0</v>
      </c>
      <c r="E12" s="18">
        <v>4870</v>
      </c>
      <c r="F12" s="15">
        <f t="shared" si="5"/>
        <v>0</v>
      </c>
      <c r="G12" s="15">
        <f t="shared" si="5"/>
        <v>0</v>
      </c>
      <c r="H12" s="20">
        <v>811.67</v>
      </c>
      <c r="I12" s="21">
        <v>5700</v>
      </c>
      <c r="J12" s="21">
        <v>18750</v>
      </c>
      <c r="K12" s="40">
        <f t="shared" si="0"/>
        <v>4870</v>
      </c>
      <c r="L12" s="26">
        <f t="shared" si="3"/>
        <v>-5700</v>
      </c>
      <c r="M12" s="25">
        <f t="shared" si="4"/>
        <v>-13880</v>
      </c>
      <c r="N12" s="45">
        <f t="shared" si="1"/>
        <v>811.66666666666674</v>
      </c>
    </row>
    <row r="13" spans="1:15" x14ac:dyDescent="0.3">
      <c r="A13" s="38">
        <f t="shared" si="2"/>
        <v>46033</v>
      </c>
      <c r="B13" s="18">
        <v>0</v>
      </c>
      <c r="C13" s="18">
        <v>1070</v>
      </c>
      <c r="D13" s="18">
        <v>0</v>
      </c>
      <c r="E13" s="18">
        <v>1070</v>
      </c>
      <c r="F13" s="15">
        <f t="shared" si="5"/>
        <v>0</v>
      </c>
      <c r="G13" s="15">
        <f t="shared" si="5"/>
        <v>0</v>
      </c>
      <c r="H13" s="20">
        <v>178.34</v>
      </c>
      <c r="I13" s="21">
        <v>400</v>
      </c>
      <c r="J13" s="21">
        <v>2235</v>
      </c>
      <c r="K13" s="40">
        <f t="shared" si="0"/>
        <v>1070</v>
      </c>
      <c r="L13" s="26">
        <f t="shared" si="3"/>
        <v>-400</v>
      </c>
      <c r="M13" s="25">
        <f t="shared" si="4"/>
        <v>-1165</v>
      </c>
      <c r="N13" s="45">
        <f t="shared" si="1"/>
        <v>178.33333333333334</v>
      </c>
      <c r="O13" t="s">
        <v>32</v>
      </c>
    </row>
    <row r="14" spans="1:15" x14ac:dyDescent="0.3">
      <c r="A14" s="38">
        <f t="shared" si="2"/>
        <v>46034</v>
      </c>
      <c r="B14" s="18">
        <v>1800</v>
      </c>
      <c r="C14" s="18">
        <v>980</v>
      </c>
      <c r="D14" s="18">
        <v>0</v>
      </c>
      <c r="E14" s="18">
        <v>980</v>
      </c>
      <c r="F14" s="15">
        <f t="shared" si="5"/>
        <v>-1800</v>
      </c>
      <c r="G14" s="15">
        <f t="shared" si="5"/>
        <v>0</v>
      </c>
      <c r="H14" s="20">
        <v>180.84</v>
      </c>
      <c r="I14" s="21">
        <v>590</v>
      </c>
      <c r="J14" s="21">
        <v>4165</v>
      </c>
      <c r="K14" s="40">
        <f t="shared" si="0"/>
        <v>2780</v>
      </c>
      <c r="L14" s="26">
        <f t="shared" si="3"/>
        <v>1210</v>
      </c>
      <c r="M14" s="25">
        <f t="shared" si="4"/>
        <v>-3185</v>
      </c>
      <c r="N14" s="45">
        <f t="shared" si="1"/>
        <v>163.33333333333334</v>
      </c>
      <c r="O14" t="s">
        <v>32</v>
      </c>
    </row>
    <row r="15" spans="1:15" x14ac:dyDescent="0.3">
      <c r="A15" s="38">
        <f t="shared" si="2"/>
        <v>46035</v>
      </c>
      <c r="B15" s="18">
        <v>1050</v>
      </c>
      <c r="C15" s="18">
        <v>1500</v>
      </c>
      <c r="D15" s="18">
        <v>0</v>
      </c>
      <c r="E15" s="18">
        <v>1500</v>
      </c>
      <c r="F15" s="15">
        <f t="shared" si="5"/>
        <v>-1050</v>
      </c>
      <c r="G15" s="15">
        <f t="shared" si="5"/>
        <v>0</v>
      </c>
      <c r="H15" s="20">
        <v>250</v>
      </c>
      <c r="I15" s="21">
        <v>1510</v>
      </c>
      <c r="J15" s="21">
        <v>1200</v>
      </c>
      <c r="K15" s="40">
        <f t="shared" si="0"/>
        <v>2550</v>
      </c>
      <c r="L15" s="26">
        <f t="shared" si="3"/>
        <v>-460</v>
      </c>
      <c r="M15" s="25">
        <f t="shared" si="4"/>
        <v>300</v>
      </c>
      <c r="N15" s="45">
        <f t="shared" si="1"/>
        <v>250</v>
      </c>
    </row>
    <row r="16" spans="1:15" x14ac:dyDescent="0.3">
      <c r="A16" s="38">
        <f t="shared" si="2"/>
        <v>46036</v>
      </c>
      <c r="B16" s="18">
        <v>485</v>
      </c>
      <c r="C16" s="18">
        <v>2505</v>
      </c>
      <c r="D16" s="18">
        <v>0</v>
      </c>
      <c r="E16" s="18">
        <v>2505</v>
      </c>
      <c r="F16" s="15">
        <f t="shared" si="5"/>
        <v>-485</v>
      </c>
      <c r="G16" s="15">
        <f t="shared" si="5"/>
        <v>0</v>
      </c>
      <c r="H16" s="20">
        <v>417.5</v>
      </c>
      <c r="I16" s="21">
        <v>295</v>
      </c>
      <c r="J16" s="21">
        <v>105</v>
      </c>
      <c r="K16" s="40">
        <f t="shared" si="0"/>
        <v>2990</v>
      </c>
      <c r="L16" s="26">
        <f t="shared" si="3"/>
        <v>190</v>
      </c>
      <c r="M16" s="25">
        <f t="shared" si="4"/>
        <v>2400</v>
      </c>
      <c r="N16" s="45">
        <f t="shared" si="1"/>
        <v>417.5</v>
      </c>
    </row>
    <row r="17" spans="1:15" x14ac:dyDescent="0.3">
      <c r="A17" s="38">
        <f t="shared" si="2"/>
        <v>46037</v>
      </c>
      <c r="B17" s="18">
        <v>1100</v>
      </c>
      <c r="C17" s="18">
        <v>2430</v>
      </c>
      <c r="D17" s="18">
        <v>0</v>
      </c>
      <c r="E17" s="18">
        <v>2430</v>
      </c>
      <c r="F17" s="15">
        <f t="shared" si="5"/>
        <v>-1100</v>
      </c>
      <c r="G17" s="15">
        <f t="shared" si="5"/>
        <v>0</v>
      </c>
      <c r="H17" s="20">
        <v>405</v>
      </c>
      <c r="I17" s="21">
        <v>1505</v>
      </c>
      <c r="J17" s="21">
        <v>3600</v>
      </c>
      <c r="K17" s="40">
        <f t="shared" si="0"/>
        <v>3530</v>
      </c>
      <c r="L17" s="26">
        <f t="shared" si="3"/>
        <v>-405</v>
      </c>
      <c r="M17" s="25">
        <f t="shared" si="4"/>
        <v>-1170</v>
      </c>
      <c r="N17" s="45">
        <f t="shared" si="1"/>
        <v>405</v>
      </c>
    </row>
    <row r="18" spans="1:15" x14ac:dyDescent="0.3">
      <c r="A18" s="38">
        <f t="shared" si="2"/>
        <v>46038</v>
      </c>
      <c r="B18" s="18">
        <v>1400</v>
      </c>
      <c r="C18" s="18">
        <v>2560</v>
      </c>
      <c r="D18" s="18">
        <v>0</v>
      </c>
      <c r="E18" s="18">
        <v>2560</v>
      </c>
      <c r="F18" s="15">
        <f t="shared" si="5"/>
        <v>-1400</v>
      </c>
      <c r="G18" s="15">
        <f t="shared" si="5"/>
        <v>0</v>
      </c>
      <c r="H18" s="20">
        <v>426.66</v>
      </c>
      <c r="I18" s="21">
        <v>205</v>
      </c>
      <c r="J18" s="21">
        <v>315</v>
      </c>
      <c r="K18" s="40">
        <f t="shared" si="0"/>
        <v>3960</v>
      </c>
      <c r="L18" s="26">
        <f t="shared" si="3"/>
        <v>1195</v>
      </c>
      <c r="M18" s="25">
        <f t="shared" si="4"/>
        <v>2245</v>
      </c>
      <c r="N18" s="45">
        <f t="shared" si="1"/>
        <v>426.66666666666669</v>
      </c>
      <c r="O18" t="s">
        <v>32</v>
      </c>
    </row>
    <row r="19" spans="1:15" x14ac:dyDescent="0.3">
      <c r="A19" s="38">
        <f t="shared" si="2"/>
        <v>46039</v>
      </c>
      <c r="B19" s="18">
        <v>570</v>
      </c>
      <c r="C19" s="18">
        <v>3200</v>
      </c>
      <c r="D19" s="18">
        <v>0</v>
      </c>
      <c r="E19" s="18">
        <v>3200</v>
      </c>
      <c r="F19" s="15">
        <f t="shared" si="5"/>
        <v>-570</v>
      </c>
      <c r="G19" s="15">
        <f t="shared" si="5"/>
        <v>0</v>
      </c>
      <c r="H19" s="20">
        <v>533.33000000000004</v>
      </c>
      <c r="I19" s="21">
        <v>590</v>
      </c>
      <c r="J19" s="21">
        <v>510</v>
      </c>
      <c r="K19" s="40">
        <f t="shared" si="0"/>
        <v>3770</v>
      </c>
      <c r="L19" s="26">
        <f t="shared" si="3"/>
        <v>-20</v>
      </c>
      <c r="M19" s="25">
        <f t="shared" si="4"/>
        <v>2690</v>
      </c>
      <c r="N19" s="45">
        <f t="shared" si="1"/>
        <v>533.33333333333337</v>
      </c>
    </row>
    <row r="20" spans="1:15" x14ac:dyDescent="0.3">
      <c r="A20" s="38">
        <f t="shared" si="2"/>
        <v>46040</v>
      </c>
      <c r="B20" s="18">
        <v>1700</v>
      </c>
      <c r="C20" s="18">
        <v>2030</v>
      </c>
      <c r="D20" s="18">
        <v>0</v>
      </c>
      <c r="E20" s="18">
        <v>2030</v>
      </c>
      <c r="F20" s="15">
        <f t="shared" si="5"/>
        <v>-1700</v>
      </c>
      <c r="G20" s="15">
        <f t="shared" si="5"/>
        <v>0</v>
      </c>
      <c r="H20" s="20">
        <v>363.34</v>
      </c>
      <c r="I20" s="21">
        <v>60</v>
      </c>
      <c r="J20" s="21">
        <v>140</v>
      </c>
      <c r="K20" s="40">
        <f t="shared" si="0"/>
        <v>3730</v>
      </c>
      <c r="L20" s="26">
        <f t="shared" si="3"/>
        <v>1640</v>
      </c>
      <c r="M20" s="25">
        <f t="shared" si="4"/>
        <v>1890</v>
      </c>
      <c r="N20" s="45">
        <f t="shared" si="1"/>
        <v>338.33333333333337</v>
      </c>
      <c r="O20" t="s">
        <v>32</v>
      </c>
    </row>
    <row r="21" spans="1:15" x14ac:dyDescent="0.3">
      <c r="A21" s="38">
        <f t="shared" si="2"/>
        <v>46041</v>
      </c>
      <c r="B21" s="18">
        <v>600</v>
      </c>
      <c r="C21" s="18">
        <v>270</v>
      </c>
      <c r="D21" s="18">
        <v>0</v>
      </c>
      <c r="E21" s="18">
        <v>270</v>
      </c>
      <c r="F21" s="15">
        <f t="shared" si="5"/>
        <v>-600</v>
      </c>
      <c r="G21" s="15">
        <f t="shared" si="5"/>
        <v>0</v>
      </c>
      <c r="H21" s="20">
        <v>45</v>
      </c>
      <c r="I21" s="21">
        <v>1105</v>
      </c>
      <c r="J21" s="21">
        <v>780</v>
      </c>
      <c r="K21" s="40">
        <f t="shared" si="0"/>
        <v>870</v>
      </c>
      <c r="L21" s="26">
        <f t="shared" si="3"/>
        <v>-505</v>
      </c>
      <c r="M21" s="25">
        <f t="shared" si="4"/>
        <v>-510</v>
      </c>
      <c r="N21" s="45">
        <f t="shared" si="1"/>
        <v>45</v>
      </c>
    </row>
    <row r="22" spans="1:15" x14ac:dyDescent="0.3">
      <c r="A22" s="38">
        <f t="shared" si="2"/>
        <v>46042</v>
      </c>
      <c r="B22" s="18">
        <v>1050</v>
      </c>
      <c r="C22" s="18">
        <v>880</v>
      </c>
      <c r="D22" s="18">
        <v>0</v>
      </c>
      <c r="E22" s="18">
        <v>880</v>
      </c>
      <c r="F22" s="15">
        <f t="shared" si="5"/>
        <v>-1050</v>
      </c>
      <c r="G22" s="15">
        <f t="shared" si="5"/>
        <v>0</v>
      </c>
      <c r="H22" s="20">
        <v>146.66999999999999</v>
      </c>
      <c r="I22" s="21">
        <v>400</v>
      </c>
      <c r="J22" s="21">
        <v>0</v>
      </c>
      <c r="K22" s="40">
        <f t="shared" si="0"/>
        <v>1930</v>
      </c>
      <c r="L22" s="26">
        <f t="shared" si="3"/>
        <v>650</v>
      </c>
      <c r="M22" s="25">
        <f t="shared" si="4"/>
        <v>880</v>
      </c>
      <c r="N22" s="45">
        <f t="shared" si="1"/>
        <v>146.66666666666669</v>
      </c>
    </row>
    <row r="23" spans="1:15" x14ac:dyDescent="0.3">
      <c r="A23" s="38">
        <f t="shared" si="2"/>
        <v>46043</v>
      </c>
      <c r="B23" s="18">
        <v>400</v>
      </c>
      <c r="C23" s="18">
        <v>1550</v>
      </c>
      <c r="D23" s="18">
        <v>0</v>
      </c>
      <c r="E23" s="18">
        <v>1550</v>
      </c>
      <c r="F23" s="15">
        <f t="shared" si="5"/>
        <v>-400</v>
      </c>
      <c r="G23" s="15">
        <f t="shared" si="5"/>
        <v>0</v>
      </c>
      <c r="H23" s="20">
        <v>258.33</v>
      </c>
      <c r="I23" s="21">
        <v>110</v>
      </c>
      <c r="J23" s="21">
        <v>0</v>
      </c>
      <c r="K23" s="40">
        <f t="shared" si="0"/>
        <v>1950</v>
      </c>
      <c r="L23" s="26">
        <f t="shared" si="3"/>
        <v>290</v>
      </c>
      <c r="M23" s="25">
        <f t="shared" si="4"/>
        <v>1550</v>
      </c>
      <c r="N23" s="45">
        <f t="shared" si="1"/>
        <v>258.33333333333337</v>
      </c>
    </row>
    <row r="24" spans="1:15" x14ac:dyDescent="0.3">
      <c r="A24" s="38">
        <f t="shared" si="2"/>
        <v>46044</v>
      </c>
      <c r="B24" s="18">
        <v>530</v>
      </c>
      <c r="C24" s="18">
        <v>2080</v>
      </c>
      <c r="D24" s="18">
        <v>0</v>
      </c>
      <c r="E24" s="18">
        <v>2080</v>
      </c>
      <c r="F24" s="15">
        <f t="shared" si="5"/>
        <v>-530</v>
      </c>
      <c r="G24" s="15">
        <f t="shared" si="5"/>
        <v>0</v>
      </c>
      <c r="H24" s="20">
        <v>346.67</v>
      </c>
      <c r="I24" s="21">
        <v>0</v>
      </c>
      <c r="J24" s="21">
        <v>4160</v>
      </c>
      <c r="K24" s="40">
        <f t="shared" si="0"/>
        <v>2610</v>
      </c>
      <c r="L24" s="26">
        <f t="shared" si="3"/>
        <v>530</v>
      </c>
      <c r="M24" s="25">
        <f t="shared" si="4"/>
        <v>-2080</v>
      </c>
      <c r="N24" s="45">
        <f t="shared" si="1"/>
        <v>346.66666666666669</v>
      </c>
    </row>
    <row r="25" spans="1:15" x14ac:dyDescent="0.3">
      <c r="A25" s="38">
        <f t="shared" si="2"/>
        <v>46045</v>
      </c>
      <c r="B25" s="18">
        <v>1690</v>
      </c>
      <c r="C25" s="18">
        <v>2280</v>
      </c>
      <c r="D25" s="18">
        <v>0</v>
      </c>
      <c r="E25" s="18">
        <v>2280</v>
      </c>
      <c r="F25" s="15">
        <f t="shared" si="5"/>
        <v>-1690</v>
      </c>
      <c r="G25" s="15">
        <f t="shared" si="5"/>
        <v>0</v>
      </c>
      <c r="H25" s="20">
        <v>379.99</v>
      </c>
      <c r="I25" s="21">
        <v>100</v>
      </c>
      <c r="J25" s="21">
        <v>0</v>
      </c>
      <c r="K25" s="40">
        <f t="shared" si="0"/>
        <v>3970</v>
      </c>
      <c r="L25" s="26">
        <f t="shared" si="3"/>
        <v>1590</v>
      </c>
      <c r="M25" s="25">
        <f t="shared" si="4"/>
        <v>2280</v>
      </c>
      <c r="N25" s="45">
        <f t="shared" si="1"/>
        <v>380</v>
      </c>
      <c r="O25" t="s">
        <v>32</v>
      </c>
    </row>
    <row r="26" spans="1:15" x14ac:dyDescent="0.3">
      <c r="A26" s="38">
        <f t="shared" si="2"/>
        <v>46046</v>
      </c>
      <c r="B26" s="18">
        <v>1290</v>
      </c>
      <c r="C26" s="18">
        <v>9770</v>
      </c>
      <c r="D26" s="18">
        <v>0</v>
      </c>
      <c r="E26" s="18">
        <v>9770</v>
      </c>
      <c r="F26" s="15">
        <f t="shared" si="5"/>
        <v>-1290</v>
      </c>
      <c r="G26" s="15">
        <f t="shared" si="5"/>
        <v>0</v>
      </c>
      <c r="H26" s="20">
        <v>1664.16</v>
      </c>
      <c r="I26" s="21">
        <v>0</v>
      </c>
      <c r="J26" s="21">
        <v>945</v>
      </c>
      <c r="K26" s="40">
        <f t="shared" si="0"/>
        <v>11060</v>
      </c>
      <c r="L26" s="26">
        <f t="shared" si="3"/>
        <v>1290</v>
      </c>
      <c r="M26" s="25">
        <f t="shared" si="4"/>
        <v>8825</v>
      </c>
      <c r="N26" s="45">
        <f t="shared" si="1"/>
        <v>1628.3333333333335</v>
      </c>
      <c r="O26" t="s">
        <v>32</v>
      </c>
    </row>
    <row r="27" spans="1:15" x14ac:dyDescent="0.3">
      <c r="A27" s="38">
        <f t="shared" si="2"/>
        <v>46047</v>
      </c>
      <c r="B27" s="18">
        <v>0</v>
      </c>
      <c r="C27" s="18">
        <v>3650</v>
      </c>
      <c r="D27" s="18">
        <v>0</v>
      </c>
      <c r="E27" s="18">
        <v>3650</v>
      </c>
      <c r="F27" s="15">
        <f t="shared" si="5"/>
        <v>0</v>
      </c>
      <c r="G27" s="15">
        <f t="shared" si="5"/>
        <v>0</v>
      </c>
      <c r="H27" s="20">
        <v>608.34</v>
      </c>
      <c r="I27" s="21">
        <v>0</v>
      </c>
      <c r="J27" s="21">
        <v>835</v>
      </c>
      <c r="K27" s="40">
        <f t="shared" si="0"/>
        <v>3650</v>
      </c>
      <c r="L27" s="26">
        <f t="shared" si="3"/>
        <v>0</v>
      </c>
      <c r="M27" s="25">
        <f t="shared" si="4"/>
        <v>2815</v>
      </c>
      <c r="N27" s="45">
        <f t="shared" si="1"/>
        <v>608.33333333333337</v>
      </c>
      <c r="O27" t="s">
        <v>32</v>
      </c>
    </row>
    <row r="28" spans="1:15" x14ac:dyDescent="0.3">
      <c r="A28" s="38">
        <f t="shared" si="2"/>
        <v>46048</v>
      </c>
      <c r="B28" s="18">
        <v>30</v>
      </c>
      <c r="C28" s="18">
        <v>2790</v>
      </c>
      <c r="D28" s="18">
        <v>0</v>
      </c>
      <c r="E28" s="18">
        <v>2790</v>
      </c>
      <c r="F28" s="15">
        <f t="shared" si="5"/>
        <v>-30</v>
      </c>
      <c r="G28" s="15">
        <f t="shared" si="5"/>
        <v>0</v>
      </c>
      <c r="H28" s="20">
        <v>465</v>
      </c>
      <c r="I28" s="21">
        <v>290</v>
      </c>
      <c r="J28" s="21">
        <v>1850</v>
      </c>
      <c r="K28" s="40">
        <f t="shared" si="0"/>
        <v>2820</v>
      </c>
      <c r="L28" s="26">
        <f t="shared" si="3"/>
        <v>-260</v>
      </c>
      <c r="M28" s="25">
        <f t="shared" si="4"/>
        <v>940</v>
      </c>
      <c r="N28" s="45">
        <f t="shared" si="1"/>
        <v>465</v>
      </c>
    </row>
    <row r="29" spans="1:15" x14ac:dyDescent="0.3">
      <c r="A29" s="38">
        <f t="shared" si="2"/>
        <v>46049</v>
      </c>
      <c r="B29" s="18">
        <v>260</v>
      </c>
      <c r="C29" s="18">
        <v>1825</v>
      </c>
      <c r="D29" s="18">
        <v>0</v>
      </c>
      <c r="E29" s="18">
        <v>1825</v>
      </c>
      <c r="F29" s="15">
        <f t="shared" si="5"/>
        <v>-260</v>
      </c>
      <c r="G29" s="15">
        <f t="shared" si="5"/>
        <v>0</v>
      </c>
      <c r="H29" s="20">
        <v>310.83999999999997</v>
      </c>
      <c r="I29" s="21">
        <v>400</v>
      </c>
      <c r="J29" s="21">
        <v>8720</v>
      </c>
      <c r="K29" s="40">
        <f t="shared" si="0"/>
        <v>2085</v>
      </c>
      <c r="L29" s="26">
        <f t="shared" si="3"/>
        <v>-140</v>
      </c>
      <c r="M29" s="25">
        <f t="shared" si="4"/>
        <v>-6895</v>
      </c>
      <c r="N29" s="45">
        <f t="shared" si="1"/>
        <v>304.16666666666669</v>
      </c>
      <c r="O29" t="s">
        <v>32</v>
      </c>
    </row>
    <row r="30" spans="1:15" x14ac:dyDescent="0.3">
      <c r="A30" s="38">
        <f t="shared" si="2"/>
        <v>46050</v>
      </c>
      <c r="B30" s="18">
        <v>100</v>
      </c>
      <c r="C30" s="18">
        <v>1890</v>
      </c>
      <c r="D30" s="18">
        <v>0</v>
      </c>
      <c r="E30" s="18">
        <v>1890</v>
      </c>
      <c r="F30" s="15">
        <f t="shared" si="5"/>
        <v>-100</v>
      </c>
      <c r="G30" s="15">
        <f t="shared" si="5"/>
        <v>0</v>
      </c>
      <c r="H30" s="20">
        <v>314.99</v>
      </c>
      <c r="I30" s="21">
        <v>480</v>
      </c>
      <c r="J30" s="21">
        <v>0</v>
      </c>
      <c r="K30" s="40">
        <f t="shared" si="0"/>
        <v>1990</v>
      </c>
      <c r="L30" s="26">
        <f t="shared" si="3"/>
        <v>-380</v>
      </c>
      <c r="M30" s="25">
        <f t="shared" si="4"/>
        <v>1890</v>
      </c>
      <c r="N30" s="45">
        <f t="shared" si="1"/>
        <v>315</v>
      </c>
      <c r="O30" t="s">
        <v>32</v>
      </c>
    </row>
    <row r="31" spans="1:15" x14ac:dyDescent="0.3">
      <c r="A31" s="38">
        <f t="shared" si="2"/>
        <v>46051</v>
      </c>
      <c r="B31" s="18">
        <v>400</v>
      </c>
      <c r="C31" s="18">
        <v>1670</v>
      </c>
      <c r="D31" s="18">
        <v>0</v>
      </c>
      <c r="E31" s="18">
        <v>1670</v>
      </c>
      <c r="F31" s="15">
        <f t="shared" si="5"/>
        <v>-400</v>
      </c>
      <c r="G31" s="15">
        <f t="shared" si="5"/>
        <v>0</v>
      </c>
      <c r="H31" s="20">
        <v>278.33</v>
      </c>
      <c r="I31" s="21">
        <v>100</v>
      </c>
      <c r="J31" s="21">
        <v>5930</v>
      </c>
      <c r="K31" s="40">
        <f t="shared" si="0"/>
        <v>2070</v>
      </c>
      <c r="L31" s="26">
        <f t="shared" si="3"/>
        <v>300</v>
      </c>
      <c r="M31" s="25">
        <f t="shared" si="4"/>
        <v>-4260</v>
      </c>
      <c r="N31" s="45">
        <f t="shared" si="1"/>
        <v>278.33333333333337</v>
      </c>
    </row>
    <row r="32" spans="1:15" x14ac:dyDescent="0.3">
      <c r="A32" s="38">
        <f t="shared" si="2"/>
        <v>46052</v>
      </c>
      <c r="B32" s="18">
        <v>1550</v>
      </c>
      <c r="C32" s="18">
        <v>740</v>
      </c>
      <c r="D32" s="18">
        <v>0</v>
      </c>
      <c r="E32" s="18">
        <v>740</v>
      </c>
      <c r="F32" s="15">
        <f t="shared" si="5"/>
        <v>-1550</v>
      </c>
      <c r="G32" s="15">
        <f t="shared" si="5"/>
        <v>0</v>
      </c>
      <c r="H32" s="45">
        <f>+(C32*0.2)/1.2</f>
        <v>123.33333333333334</v>
      </c>
      <c r="I32" s="21">
        <v>0</v>
      </c>
      <c r="J32" s="21">
        <v>6250</v>
      </c>
      <c r="K32" s="40">
        <f t="shared" si="0"/>
        <v>2290</v>
      </c>
      <c r="L32" s="26">
        <f t="shared" si="3"/>
        <v>1550</v>
      </c>
      <c r="M32" s="25">
        <f t="shared" si="4"/>
        <v>-5510</v>
      </c>
      <c r="N32" s="45">
        <f>+(C32*0.2)/1.2</f>
        <v>123.33333333333334</v>
      </c>
    </row>
    <row r="33" spans="1:15" x14ac:dyDescent="0.3">
      <c r="A33" s="38">
        <f t="shared" si="2"/>
        <v>46053</v>
      </c>
      <c r="B33" s="18">
        <v>700</v>
      </c>
      <c r="C33" s="18">
        <v>1675</v>
      </c>
      <c r="D33" s="18">
        <v>0</v>
      </c>
      <c r="E33" s="18">
        <v>1675</v>
      </c>
      <c r="F33" s="15">
        <f t="shared" si="5"/>
        <v>-700</v>
      </c>
      <c r="G33" s="15">
        <f t="shared" si="5"/>
        <v>0</v>
      </c>
      <c r="H33" s="45">
        <f>335/1.2</f>
        <v>279.16666666666669</v>
      </c>
      <c r="I33" s="21">
        <v>2250</v>
      </c>
      <c r="J33" s="33">
        <v>510</v>
      </c>
      <c r="K33" s="40">
        <f t="shared" si="0"/>
        <v>2375</v>
      </c>
      <c r="L33" s="26">
        <f t="shared" si="3"/>
        <v>-1550</v>
      </c>
      <c r="M33" s="25">
        <f t="shared" si="4"/>
        <v>1165</v>
      </c>
      <c r="N33" s="45">
        <f>+(C33*0.2)/1.2</f>
        <v>279.16666666666669</v>
      </c>
    </row>
    <row r="34" spans="1:15" s="8" customFormat="1" ht="27.6" customHeight="1" x14ac:dyDescent="0.35">
      <c r="A34" s="24" t="s">
        <v>4</v>
      </c>
      <c r="B34" s="22"/>
      <c r="C34" s="22"/>
      <c r="D34" s="22"/>
      <c r="E34" s="22"/>
      <c r="F34" s="15">
        <f t="shared" ref="F34:M34" si="6">SUM(F3:F33)</f>
        <v>-26035</v>
      </c>
      <c r="G34" s="23">
        <f t="shared" si="6"/>
        <v>0</v>
      </c>
      <c r="H34" s="22">
        <f>SUM(H3:H33)</f>
        <v>12938.33</v>
      </c>
      <c r="I34" s="24">
        <f t="shared" si="6"/>
        <v>26565</v>
      </c>
      <c r="J34" s="24">
        <f t="shared" si="6"/>
        <v>73115</v>
      </c>
      <c r="K34" s="32">
        <f t="shared" si="6"/>
        <v>104580</v>
      </c>
      <c r="L34" s="27">
        <f t="shared" si="6"/>
        <v>170</v>
      </c>
      <c r="M34" s="27">
        <f t="shared" si="6"/>
        <v>4730</v>
      </c>
      <c r="N34" s="46">
        <f>SUM(N3:N33)</f>
        <v>12974.166666666668</v>
      </c>
      <c r="O34" s="8">
        <f>+(H34*1.2)*5</f>
        <v>77629.98</v>
      </c>
    </row>
    <row r="35" spans="1:15" x14ac:dyDescent="0.3">
      <c r="K35" s="37">
        <f>AVERAGE(K3:K33)</f>
        <v>3373.5483870967741</v>
      </c>
    </row>
    <row r="36" spans="1:15" ht="18" x14ac:dyDescent="0.35">
      <c r="N36" s="8">
        <f>+(N34*1.2)*5</f>
        <v>77845</v>
      </c>
    </row>
    <row r="37" spans="1:15" ht="18" x14ac:dyDescent="0.3">
      <c r="G37" s="51" t="s">
        <v>14</v>
      </c>
      <c r="H37" s="51"/>
      <c r="I37" s="12">
        <f>SUM(K3:K33)</f>
        <v>104580</v>
      </c>
    </row>
    <row r="38" spans="1:15" ht="11.4" customHeight="1" x14ac:dyDescent="0.3">
      <c r="G38" s="51" t="s">
        <v>16</v>
      </c>
      <c r="H38" s="51"/>
      <c r="I38" s="12">
        <f>SUM(+I34+J34)</f>
        <v>99680</v>
      </c>
    </row>
    <row r="39" spans="1:15" ht="18" x14ac:dyDescent="0.3">
      <c r="G39" s="51" t="s">
        <v>15</v>
      </c>
      <c r="H39" s="51"/>
      <c r="I39" s="12">
        <f>SUM(L34+M34)</f>
        <v>4900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4:H16"/>
  <sheetViews>
    <sheetView workbookViewId="0">
      <selection activeCell="N6" sqref="N6"/>
    </sheetView>
  </sheetViews>
  <sheetFormatPr defaultRowHeight="14.4" x14ac:dyDescent="0.3"/>
  <cols>
    <col min="6" max="6" width="11" bestFit="1" customWidth="1"/>
  </cols>
  <sheetData>
    <row r="4" spans="4:8" x14ac:dyDescent="0.3">
      <c r="D4" s="43">
        <v>1</v>
      </c>
      <c r="E4" s="41" t="s">
        <v>20</v>
      </c>
      <c r="F4" s="42">
        <f>+'OCAK GÜNSONU TABLOSU'!I37</f>
        <v>97745</v>
      </c>
    </row>
    <row r="5" spans="4:8" x14ac:dyDescent="0.3">
      <c r="D5" s="43">
        <v>2</v>
      </c>
      <c r="E5" s="41" t="s">
        <v>21</v>
      </c>
      <c r="F5" s="42">
        <f>+'ŞUBAT GÜNSONU TABLOSU'!I37</f>
        <v>93290</v>
      </c>
    </row>
    <row r="6" spans="4:8" x14ac:dyDescent="0.3">
      <c r="D6" s="43">
        <v>3</v>
      </c>
      <c r="E6" s="41" t="s">
        <v>22</v>
      </c>
      <c r="F6" s="42">
        <f>+'MART GÜNSONU TABLOSU'!I37</f>
        <v>115270</v>
      </c>
    </row>
    <row r="7" spans="4:8" x14ac:dyDescent="0.3">
      <c r="D7" s="43">
        <v>4</v>
      </c>
      <c r="E7" s="41" t="s">
        <v>23</v>
      </c>
      <c r="F7" s="42">
        <f>+'NİSAN GÜNSONU TABLOSU '!I37</f>
        <v>117815</v>
      </c>
    </row>
    <row r="8" spans="4:8" x14ac:dyDescent="0.3">
      <c r="D8" s="43">
        <v>5</v>
      </c>
      <c r="E8" s="41" t="s">
        <v>24</v>
      </c>
      <c r="F8" s="42">
        <f>+'MAYIS GÜNSONU TABLOSU '!I37</f>
        <v>153425</v>
      </c>
    </row>
    <row r="9" spans="4:8" x14ac:dyDescent="0.3">
      <c r="D9" s="43">
        <v>6</v>
      </c>
      <c r="E9" s="41" t="s">
        <v>25</v>
      </c>
      <c r="F9" s="42">
        <f>+'HAZİRAN GÜNSONU TABLOSU  '!I37</f>
        <v>124265</v>
      </c>
    </row>
    <row r="10" spans="4:8" x14ac:dyDescent="0.3">
      <c r="D10" s="43">
        <v>7</v>
      </c>
      <c r="E10" s="41" t="s">
        <v>26</v>
      </c>
      <c r="F10" s="42">
        <f>+'TEMMUZ GÜNSONU TABLOSU'!I37</f>
        <v>110250</v>
      </c>
    </row>
    <row r="11" spans="4:8" x14ac:dyDescent="0.3">
      <c r="D11" s="43">
        <v>8</v>
      </c>
      <c r="E11" s="41" t="s">
        <v>27</v>
      </c>
      <c r="F11" s="42">
        <f>+'AĞUSTOS GÜNSONU TABLOSU'!I37</f>
        <v>116120</v>
      </c>
    </row>
    <row r="12" spans="4:8" x14ac:dyDescent="0.3">
      <c r="D12" s="43">
        <v>9</v>
      </c>
      <c r="E12" s="41" t="s">
        <v>28</v>
      </c>
      <c r="F12" s="42">
        <f>+'EYLÜL GÜNSONU TABLOSU '!I37</f>
        <v>99290</v>
      </c>
    </row>
    <row r="13" spans="4:8" x14ac:dyDescent="0.3">
      <c r="D13" s="43">
        <v>10</v>
      </c>
      <c r="E13" s="41" t="s">
        <v>29</v>
      </c>
      <c r="F13" s="42">
        <f>+'EKİM 2025'!I37</f>
        <v>115090</v>
      </c>
    </row>
    <row r="14" spans="4:8" x14ac:dyDescent="0.3">
      <c r="D14" s="43">
        <v>11</v>
      </c>
      <c r="E14" s="41" t="s">
        <v>30</v>
      </c>
      <c r="F14" s="42">
        <f>+'KASIM 2025'!I37</f>
        <v>100670</v>
      </c>
    </row>
    <row r="15" spans="4:8" x14ac:dyDescent="0.3">
      <c r="D15" s="43">
        <v>12</v>
      </c>
      <c r="E15" s="41" t="s">
        <v>31</v>
      </c>
      <c r="F15" s="42">
        <f>+'ARALIK 2025'!I37</f>
        <v>131280</v>
      </c>
    </row>
    <row r="16" spans="4:8" x14ac:dyDescent="0.3">
      <c r="E16" s="44">
        <f>+F16/365</f>
        <v>3765.7808219178082</v>
      </c>
      <c r="F16" s="44">
        <f>SUM(F4:F15)</f>
        <v>1374510</v>
      </c>
      <c r="G16" s="44">
        <f>+F16/12</f>
        <v>114542.5</v>
      </c>
      <c r="H16" s="4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9"/>
  <sheetViews>
    <sheetView topLeftCell="A20" workbookViewId="0">
      <selection activeCell="I39" sqref="I39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9" t="s">
        <v>3</v>
      </c>
      <c r="L2" s="11" t="s">
        <v>12</v>
      </c>
      <c r="M2" s="11" t="s">
        <v>13</v>
      </c>
    </row>
    <row r="3" spans="1:14" x14ac:dyDescent="0.3">
      <c r="A3" s="38">
        <v>45992</v>
      </c>
      <c r="B3" s="14">
        <v>70</v>
      </c>
      <c r="C3" s="14">
        <v>2970</v>
      </c>
      <c r="D3" s="14">
        <v>0</v>
      </c>
      <c r="E3" s="14">
        <v>2970</v>
      </c>
      <c r="F3" s="15">
        <f>SUM(D3-B3)</f>
        <v>-70</v>
      </c>
      <c r="G3" s="15">
        <f>SUM(E3-C3)</f>
        <v>0</v>
      </c>
      <c r="H3" s="16">
        <v>461.66</v>
      </c>
      <c r="I3" s="17">
        <v>595</v>
      </c>
      <c r="J3" s="17">
        <v>2880</v>
      </c>
      <c r="K3" s="40">
        <f t="shared" ref="K3:K10" si="0">+E3+B3</f>
        <v>3040</v>
      </c>
      <c r="L3" s="25">
        <f>SUM(B3-I3)</f>
        <v>-525</v>
      </c>
      <c r="M3" s="25">
        <f>SUM(E3-J3)</f>
        <v>90</v>
      </c>
    </row>
    <row r="4" spans="1:14" x14ac:dyDescent="0.3">
      <c r="A4" s="38">
        <f t="shared" ref="A4:A33" si="1">+A3+1</f>
        <v>45993</v>
      </c>
      <c r="B4" s="18">
        <v>1000</v>
      </c>
      <c r="C4" s="18">
        <v>480</v>
      </c>
      <c r="D4" s="18">
        <v>0</v>
      </c>
      <c r="E4" s="18">
        <v>480</v>
      </c>
      <c r="F4" s="15">
        <f>SUM(D4-B4)</f>
        <v>-1000</v>
      </c>
      <c r="G4" s="15">
        <f>SUM(E4-C4)</f>
        <v>0</v>
      </c>
      <c r="H4" s="20">
        <v>80</v>
      </c>
      <c r="I4" s="21">
        <v>250</v>
      </c>
      <c r="J4" s="21">
        <v>1165</v>
      </c>
      <c r="K4" s="40">
        <f t="shared" si="0"/>
        <v>1480</v>
      </c>
      <c r="L4" s="26">
        <f t="shared" ref="L4:L33" si="2">SUM(B4-I4)</f>
        <v>750</v>
      </c>
      <c r="M4" s="25">
        <f t="shared" ref="M4:M33" si="3">SUM(E4-J4)</f>
        <v>-685</v>
      </c>
    </row>
    <row r="5" spans="1:14" x14ac:dyDescent="0.3">
      <c r="A5" s="38">
        <f t="shared" si="1"/>
        <v>45994</v>
      </c>
      <c r="B5" s="18">
        <v>400</v>
      </c>
      <c r="C5" s="18">
        <v>2270</v>
      </c>
      <c r="D5" s="18">
        <v>0</v>
      </c>
      <c r="E5" s="18">
        <v>2270</v>
      </c>
      <c r="F5" s="15">
        <f t="shared" ref="F5:G33" si="4">SUM(D5-B5)</f>
        <v>-400</v>
      </c>
      <c r="G5" s="15">
        <f t="shared" si="4"/>
        <v>0</v>
      </c>
      <c r="H5" s="20">
        <v>358.33</v>
      </c>
      <c r="I5" s="21">
        <v>450</v>
      </c>
      <c r="J5" s="21">
        <v>0</v>
      </c>
      <c r="K5" s="40">
        <f t="shared" si="0"/>
        <v>2670</v>
      </c>
      <c r="L5" s="26">
        <f t="shared" si="2"/>
        <v>-50</v>
      </c>
      <c r="M5" s="25">
        <f t="shared" si="3"/>
        <v>2270</v>
      </c>
    </row>
    <row r="6" spans="1:14" x14ac:dyDescent="0.3">
      <c r="A6" s="38">
        <f t="shared" si="1"/>
        <v>45995</v>
      </c>
      <c r="B6" s="18">
        <v>2470</v>
      </c>
      <c r="C6" s="18">
        <v>3220</v>
      </c>
      <c r="D6" s="18">
        <v>0</v>
      </c>
      <c r="E6" s="18">
        <v>3220</v>
      </c>
      <c r="F6" s="15">
        <f t="shared" si="4"/>
        <v>-2470</v>
      </c>
      <c r="G6" s="15">
        <f t="shared" si="4"/>
        <v>0</v>
      </c>
      <c r="H6" s="20">
        <v>549.16999999999996</v>
      </c>
      <c r="I6" s="21">
        <v>125</v>
      </c>
      <c r="J6" s="21">
        <v>315</v>
      </c>
      <c r="K6" s="40">
        <f t="shared" si="0"/>
        <v>5690</v>
      </c>
      <c r="L6" s="26">
        <f t="shared" si="2"/>
        <v>2345</v>
      </c>
      <c r="M6" s="25">
        <f t="shared" si="3"/>
        <v>2905</v>
      </c>
    </row>
    <row r="7" spans="1:14" x14ac:dyDescent="0.3">
      <c r="A7" s="38">
        <f t="shared" si="1"/>
        <v>45996</v>
      </c>
      <c r="B7" s="18">
        <v>250</v>
      </c>
      <c r="C7" s="18">
        <v>1890</v>
      </c>
      <c r="D7" s="18">
        <v>0</v>
      </c>
      <c r="E7" s="18">
        <v>1890</v>
      </c>
      <c r="F7" s="15">
        <f t="shared" si="4"/>
        <v>-250</v>
      </c>
      <c r="G7" s="15">
        <f t="shared" si="4"/>
        <v>0</v>
      </c>
      <c r="H7" s="20">
        <v>315</v>
      </c>
      <c r="I7" s="21">
        <v>305</v>
      </c>
      <c r="J7" s="21">
        <v>0</v>
      </c>
      <c r="K7" s="40">
        <f t="shared" si="0"/>
        <v>2140</v>
      </c>
      <c r="L7" s="26">
        <f t="shared" si="2"/>
        <v>-55</v>
      </c>
      <c r="M7" s="25">
        <f t="shared" si="3"/>
        <v>1890</v>
      </c>
    </row>
    <row r="8" spans="1:14" x14ac:dyDescent="0.3">
      <c r="A8" s="38">
        <f t="shared" si="1"/>
        <v>45997</v>
      </c>
      <c r="B8" s="18">
        <v>1030</v>
      </c>
      <c r="C8" s="18">
        <v>1210</v>
      </c>
      <c r="D8" s="18">
        <v>0</v>
      </c>
      <c r="E8" s="18">
        <v>1210</v>
      </c>
      <c r="F8" s="15">
        <f t="shared" si="4"/>
        <v>-1030</v>
      </c>
      <c r="G8" s="15">
        <f t="shared" si="4"/>
        <v>0</v>
      </c>
      <c r="H8" s="20">
        <v>201.67</v>
      </c>
      <c r="I8" s="21">
        <v>270</v>
      </c>
      <c r="J8" s="21">
        <v>0</v>
      </c>
      <c r="K8" s="40">
        <f t="shared" si="0"/>
        <v>2240</v>
      </c>
      <c r="L8" s="26">
        <f t="shared" si="2"/>
        <v>760</v>
      </c>
      <c r="M8" s="25">
        <f t="shared" si="3"/>
        <v>1210</v>
      </c>
    </row>
    <row r="9" spans="1:14" x14ac:dyDescent="0.3">
      <c r="A9" s="38">
        <f t="shared" si="1"/>
        <v>45998</v>
      </c>
      <c r="B9" s="18">
        <v>1000</v>
      </c>
      <c r="C9" s="18">
        <v>2125</v>
      </c>
      <c r="D9" s="18">
        <v>0</v>
      </c>
      <c r="E9" s="18">
        <v>2125</v>
      </c>
      <c r="F9" s="15">
        <f t="shared" si="4"/>
        <v>-1000</v>
      </c>
      <c r="G9" s="15">
        <f t="shared" si="4"/>
        <v>0</v>
      </c>
      <c r="H9" s="20">
        <v>354.17</v>
      </c>
      <c r="I9" s="21">
        <v>565</v>
      </c>
      <c r="J9" s="21">
        <v>385</v>
      </c>
      <c r="K9" s="40">
        <f t="shared" si="0"/>
        <v>3125</v>
      </c>
      <c r="L9" s="26">
        <f t="shared" si="2"/>
        <v>435</v>
      </c>
      <c r="M9" s="25">
        <f t="shared" si="3"/>
        <v>1740</v>
      </c>
    </row>
    <row r="10" spans="1:14" x14ac:dyDescent="0.3">
      <c r="A10" s="38">
        <f t="shared" si="1"/>
        <v>45999</v>
      </c>
      <c r="B10" s="18">
        <v>1650</v>
      </c>
      <c r="C10" s="18">
        <v>3390</v>
      </c>
      <c r="D10" s="18">
        <v>0</v>
      </c>
      <c r="E10" s="18">
        <v>3390</v>
      </c>
      <c r="F10" s="15">
        <f t="shared" si="4"/>
        <v>-1650</v>
      </c>
      <c r="G10" s="15">
        <f t="shared" si="4"/>
        <v>0</v>
      </c>
      <c r="H10" s="20">
        <v>488.34</v>
      </c>
      <c r="I10" s="21">
        <v>405</v>
      </c>
      <c r="J10" s="21">
        <v>0</v>
      </c>
      <c r="K10" s="40">
        <f t="shared" si="0"/>
        <v>5040</v>
      </c>
      <c r="L10" s="26">
        <f t="shared" si="2"/>
        <v>1245</v>
      </c>
      <c r="M10" s="25">
        <f t="shared" si="3"/>
        <v>3390</v>
      </c>
    </row>
    <row r="11" spans="1:14" x14ac:dyDescent="0.3">
      <c r="A11" s="38">
        <f t="shared" si="1"/>
        <v>46000</v>
      </c>
      <c r="B11" s="18">
        <v>1000</v>
      </c>
      <c r="C11" s="18">
        <v>6015</v>
      </c>
      <c r="D11" s="18">
        <v>0</v>
      </c>
      <c r="E11" s="18">
        <v>6015</v>
      </c>
      <c r="F11" s="15">
        <f t="shared" si="4"/>
        <v>-1000</v>
      </c>
      <c r="G11" s="15">
        <f t="shared" si="4"/>
        <v>0</v>
      </c>
      <c r="H11" s="20">
        <v>919.18</v>
      </c>
      <c r="I11" s="21">
        <v>105</v>
      </c>
      <c r="J11" s="21">
        <v>0</v>
      </c>
      <c r="K11" s="40">
        <f t="shared" ref="K11:K33" si="5">+E11+B11</f>
        <v>7015</v>
      </c>
      <c r="L11" s="26">
        <f t="shared" si="2"/>
        <v>895</v>
      </c>
      <c r="M11" s="25">
        <f t="shared" si="3"/>
        <v>6015</v>
      </c>
    </row>
    <row r="12" spans="1:14" x14ac:dyDescent="0.3">
      <c r="A12" s="38">
        <f t="shared" si="1"/>
        <v>46001</v>
      </c>
      <c r="B12" s="18">
        <v>550</v>
      </c>
      <c r="C12" s="18">
        <v>3810</v>
      </c>
      <c r="D12" s="18">
        <v>0</v>
      </c>
      <c r="E12" s="18">
        <v>3810</v>
      </c>
      <c r="F12" s="15">
        <f t="shared" si="4"/>
        <v>-550</v>
      </c>
      <c r="G12" s="15">
        <f t="shared" si="4"/>
        <v>0</v>
      </c>
      <c r="H12" s="20">
        <v>635.01</v>
      </c>
      <c r="I12" s="21">
        <v>3475</v>
      </c>
      <c r="J12" s="21">
        <v>21000</v>
      </c>
      <c r="K12" s="40">
        <f t="shared" si="5"/>
        <v>4360</v>
      </c>
      <c r="L12" s="26">
        <f t="shared" si="2"/>
        <v>-2925</v>
      </c>
      <c r="M12" s="25">
        <f t="shared" si="3"/>
        <v>-17190</v>
      </c>
      <c r="N12" t="s">
        <v>17</v>
      </c>
    </row>
    <row r="13" spans="1:14" x14ac:dyDescent="0.3">
      <c r="A13" s="38">
        <f t="shared" si="1"/>
        <v>46002</v>
      </c>
      <c r="B13" s="18">
        <v>2850</v>
      </c>
      <c r="C13" s="18">
        <v>3630</v>
      </c>
      <c r="D13" s="18">
        <v>0</v>
      </c>
      <c r="E13" s="18">
        <v>3630</v>
      </c>
      <c r="F13" s="15">
        <f t="shared" si="4"/>
        <v>-2850</v>
      </c>
      <c r="G13" s="15">
        <f t="shared" si="4"/>
        <v>0</v>
      </c>
      <c r="H13" s="20">
        <v>576.66</v>
      </c>
      <c r="I13" s="21">
        <v>1105</v>
      </c>
      <c r="J13" s="21">
        <v>455</v>
      </c>
      <c r="K13" s="40">
        <f t="shared" si="5"/>
        <v>6480</v>
      </c>
      <c r="L13" s="26">
        <f t="shared" si="2"/>
        <v>1745</v>
      </c>
      <c r="M13" s="25">
        <f t="shared" si="3"/>
        <v>3175</v>
      </c>
    </row>
    <row r="14" spans="1:14" x14ac:dyDescent="0.3">
      <c r="A14" s="38">
        <f t="shared" si="1"/>
        <v>46003</v>
      </c>
      <c r="B14" s="18">
        <v>820</v>
      </c>
      <c r="C14" s="18">
        <v>4890</v>
      </c>
      <c r="D14" s="18">
        <v>0</v>
      </c>
      <c r="E14" s="18">
        <v>4890</v>
      </c>
      <c r="F14" s="15">
        <f t="shared" si="4"/>
        <v>-820</v>
      </c>
      <c r="G14" s="15">
        <f t="shared" si="4"/>
        <v>0</v>
      </c>
      <c r="H14" s="20">
        <v>815</v>
      </c>
      <c r="I14" s="21">
        <v>455</v>
      </c>
      <c r="J14" s="21">
        <v>675</v>
      </c>
      <c r="K14" s="40">
        <f t="shared" si="5"/>
        <v>5710</v>
      </c>
      <c r="L14" s="26">
        <f t="shared" si="2"/>
        <v>365</v>
      </c>
      <c r="M14" s="25">
        <f t="shared" si="3"/>
        <v>4215</v>
      </c>
    </row>
    <row r="15" spans="1:14" x14ac:dyDescent="0.3">
      <c r="A15" s="38">
        <f t="shared" si="1"/>
        <v>46004</v>
      </c>
      <c r="B15" s="18">
        <v>2100</v>
      </c>
      <c r="C15" s="18">
        <v>6915</v>
      </c>
      <c r="D15" s="18">
        <v>0</v>
      </c>
      <c r="E15" s="18">
        <v>6915</v>
      </c>
      <c r="F15" s="15">
        <f t="shared" si="4"/>
        <v>-2100</v>
      </c>
      <c r="G15" s="15">
        <f t="shared" si="4"/>
        <v>0</v>
      </c>
      <c r="H15" s="20">
        <v>1152.51</v>
      </c>
      <c r="I15" s="21">
        <v>155</v>
      </c>
      <c r="J15" s="21">
        <v>100</v>
      </c>
      <c r="K15" s="40">
        <f t="shared" si="5"/>
        <v>9015</v>
      </c>
      <c r="L15" s="26">
        <f t="shared" si="2"/>
        <v>1945</v>
      </c>
      <c r="M15" s="25">
        <f t="shared" si="3"/>
        <v>6815</v>
      </c>
    </row>
    <row r="16" spans="1:14" x14ac:dyDescent="0.3">
      <c r="A16" s="38">
        <f t="shared" si="1"/>
        <v>46005</v>
      </c>
      <c r="B16" s="18">
        <v>250</v>
      </c>
      <c r="C16" s="18">
        <v>4105</v>
      </c>
      <c r="D16" s="18">
        <v>0</v>
      </c>
      <c r="E16" s="18">
        <v>4105</v>
      </c>
      <c r="F16" s="15">
        <f t="shared" si="4"/>
        <v>-250</v>
      </c>
      <c r="G16" s="15">
        <f t="shared" si="4"/>
        <v>0</v>
      </c>
      <c r="H16" s="20">
        <v>510.83</v>
      </c>
      <c r="I16" s="21">
        <v>795</v>
      </c>
      <c r="J16" s="21">
        <v>8600</v>
      </c>
      <c r="K16" s="40">
        <f t="shared" si="5"/>
        <v>4355</v>
      </c>
      <c r="L16" s="26">
        <f t="shared" si="2"/>
        <v>-545</v>
      </c>
      <c r="M16" s="25">
        <f t="shared" si="3"/>
        <v>-4495</v>
      </c>
    </row>
    <row r="17" spans="1:14" x14ac:dyDescent="0.3">
      <c r="A17" s="38">
        <f t="shared" si="1"/>
        <v>46006</v>
      </c>
      <c r="B17" s="18">
        <v>690</v>
      </c>
      <c r="C17" s="18">
        <v>1890</v>
      </c>
      <c r="D17" s="18">
        <v>0</v>
      </c>
      <c r="E17" s="18">
        <v>1890</v>
      </c>
      <c r="F17" s="15">
        <f t="shared" si="4"/>
        <v>-690</v>
      </c>
      <c r="G17" s="15">
        <f t="shared" si="4"/>
        <v>0</v>
      </c>
      <c r="H17" s="20">
        <v>315</v>
      </c>
      <c r="I17" s="21">
        <v>400</v>
      </c>
      <c r="J17" s="21">
        <v>325</v>
      </c>
      <c r="K17" s="40">
        <f t="shared" si="5"/>
        <v>2580</v>
      </c>
      <c r="L17" s="26">
        <f t="shared" si="2"/>
        <v>290</v>
      </c>
      <c r="M17" s="25">
        <f t="shared" si="3"/>
        <v>1565</v>
      </c>
    </row>
    <row r="18" spans="1:14" x14ac:dyDescent="0.3">
      <c r="A18" s="38">
        <f t="shared" si="1"/>
        <v>46007</v>
      </c>
      <c r="B18" s="18">
        <v>1600</v>
      </c>
      <c r="C18" s="18">
        <v>4135</v>
      </c>
      <c r="D18" s="18">
        <v>0</v>
      </c>
      <c r="E18" s="18">
        <v>4135</v>
      </c>
      <c r="F18" s="15">
        <f t="shared" si="4"/>
        <v>-1600</v>
      </c>
      <c r="G18" s="15">
        <f t="shared" si="4"/>
        <v>0</v>
      </c>
      <c r="H18" s="20">
        <v>639.16</v>
      </c>
      <c r="I18" s="21">
        <v>800</v>
      </c>
      <c r="J18" s="21">
        <v>4940</v>
      </c>
      <c r="K18" s="40">
        <f t="shared" si="5"/>
        <v>5735</v>
      </c>
      <c r="L18" s="26">
        <f t="shared" si="2"/>
        <v>800</v>
      </c>
      <c r="M18" s="25">
        <f t="shared" si="3"/>
        <v>-805</v>
      </c>
    </row>
    <row r="19" spans="1:14" x14ac:dyDescent="0.3">
      <c r="A19" s="38">
        <f t="shared" si="1"/>
        <v>46008</v>
      </c>
      <c r="B19" s="18">
        <v>600</v>
      </c>
      <c r="C19" s="18">
        <v>4880</v>
      </c>
      <c r="D19" s="18">
        <v>0</v>
      </c>
      <c r="E19" s="18">
        <v>4880</v>
      </c>
      <c r="F19" s="15">
        <f t="shared" si="4"/>
        <v>-600</v>
      </c>
      <c r="G19" s="15">
        <f t="shared" si="4"/>
        <v>0</v>
      </c>
      <c r="H19" s="20">
        <v>813.33</v>
      </c>
      <c r="I19" s="21">
        <v>200</v>
      </c>
      <c r="J19" s="21">
        <v>3915</v>
      </c>
      <c r="K19" s="40">
        <f t="shared" si="5"/>
        <v>5480</v>
      </c>
      <c r="L19" s="26">
        <f t="shared" si="2"/>
        <v>400</v>
      </c>
      <c r="M19" s="25">
        <f t="shared" si="3"/>
        <v>965</v>
      </c>
    </row>
    <row r="20" spans="1:14" x14ac:dyDescent="0.3">
      <c r="A20" s="38">
        <f t="shared" si="1"/>
        <v>46009</v>
      </c>
      <c r="B20" s="18">
        <v>400</v>
      </c>
      <c r="C20" s="18">
        <v>2070</v>
      </c>
      <c r="D20" s="18">
        <v>0</v>
      </c>
      <c r="E20" s="18">
        <v>2070</v>
      </c>
      <c r="F20" s="15">
        <f t="shared" si="4"/>
        <v>-400</v>
      </c>
      <c r="G20" s="15">
        <f t="shared" si="4"/>
        <v>0</v>
      </c>
      <c r="H20" s="20">
        <v>345</v>
      </c>
      <c r="I20" s="21">
        <v>220</v>
      </c>
      <c r="J20" s="21">
        <v>315</v>
      </c>
      <c r="K20" s="40">
        <f t="shared" si="5"/>
        <v>2470</v>
      </c>
      <c r="L20" s="26">
        <f t="shared" si="2"/>
        <v>180</v>
      </c>
      <c r="M20" s="25">
        <f t="shared" si="3"/>
        <v>1755</v>
      </c>
    </row>
    <row r="21" spans="1:14" x14ac:dyDescent="0.3">
      <c r="A21" s="38">
        <f t="shared" si="1"/>
        <v>46010</v>
      </c>
      <c r="B21" s="18">
        <v>0</v>
      </c>
      <c r="C21" s="18">
        <v>3150</v>
      </c>
      <c r="D21" s="18">
        <v>0</v>
      </c>
      <c r="E21" s="18">
        <v>3150</v>
      </c>
      <c r="F21" s="15">
        <f t="shared" si="4"/>
        <v>0</v>
      </c>
      <c r="G21" s="15">
        <f t="shared" si="4"/>
        <v>0</v>
      </c>
      <c r="H21" s="20">
        <v>525.01</v>
      </c>
      <c r="I21" s="21">
        <v>7200</v>
      </c>
      <c r="J21" s="21">
        <v>16000</v>
      </c>
      <c r="K21" s="40">
        <f t="shared" si="5"/>
        <v>3150</v>
      </c>
      <c r="L21" s="26">
        <f t="shared" si="2"/>
        <v>-7200</v>
      </c>
      <c r="M21" s="25">
        <f t="shared" si="3"/>
        <v>-12850</v>
      </c>
    </row>
    <row r="22" spans="1:14" x14ac:dyDescent="0.3">
      <c r="A22" s="38">
        <f t="shared" si="1"/>
        <v>46011</v>
      </c>
      <c r="B22" s="18">
        <v>470</v>
      </c>
      <c r="C22" s="18">
        <v>3120</v>
      </c>
      <c r="D22" s="18">
        <v>0</v>
      </c>
      <c r="E22" s="18">
        <v>3120</v>
      </c>
      <c r="F22" s="15">
        <f t="shared" si="4"/>
        <v>-470</v>
      </c>
      <c r="G22" s="15">
        <f t="shared" si="4"/>
        <v>0</v>
      </c>
      <c r="H22" s="20">
        <v>520</v>
      </c>
      <c r="I22" s="21">
        <v>355</v>
      </c>
      <c r="J22" s="21">
        <v>290</v>
      </c>
      <c r="K22" s="40">
        <f t="shared" si="5"/>
        <v>3590</v>
      </c>
      <c r="L22" s="26">
        <f t="shared" si="2"/>
        <v>115</v>
      </c>
      <c r="M22" s="25">
        <f t="shared" si="3"/>
        <v>2830</v>
      </c>
    </row>
    <row r="23" spans="1:14" x14ac:dyDescent="0.3">
      <c r="A23" s="38">
        <f t="shared" si="1"/>
        <v>46012</v>
      </c>
      <c r="B23" s="18">
        <v>350</v>
      </c>
      <c r="C23" s="18">
        <v>1050</v>
      </c>
      <c r="D23" s="18">
        <v>0</v>
      </c>
      <c r="E23" s="18">
        <v>1050</v>
      </c>
      <c r="F23" s="15">
        <f t="shared" si="4"/>
        <v>-350</v>
      </c>
      <c r="G23" s="15">
        <f t="shared" si="4"/>
        <v>0</v>
      </c>
      <c r="H23" s="20">
        <v>175</v>
      </c>
      <c r="I23" s="21">
        <v>110</v>
      </c>
      <c r="J23" s="21">
        <v>200</v>
      </c>
      <c r="K23" s="40">
        <f t="shared" si="5"/>
        <v>1400</v>
      </c>
      <c r="L23" s="26">
        <f t="shared" si="2"/>
        <v>240</v>
      </c>
      <c r="M23" s="25">
        <f t="shared" si="3"/>
        <v>850</v>
      </c>
    </row>
    <row r="24" spans="1:14" x14ac:dyDescent="0.3">
      <c r="A24" s="38">
        <f t="shared" si="1"/>
        <v>46013</v>
      </c>
      <c r="B24" s="18">
        <v>1650</v>
      </c>
      <c r="C24" s="18">
        <v>3370</v>
      </c>
      <c r="D24" s="18">
        <v>0</v>
      </c>
      <c r="E24" s="18">
        <v>3370</v>
      </c>
      <c r="F24" s="15">
        <f t="shared" si="4"/>
        <v>-1650</v>
      </c>
      <c r="G24" s="15">
        <f t="shared" si="4"/>
        <v>0</v>
      </c>
      <c r="H24" s="20">
        <v>170</v>
      </c>
      <c r="I24" s="21">
        <v>200</v>
      </c>
      <c r="J24" s="21">
        <v>110</v>
      </c>
      <c r="K24" s="40">
        <f t="shared" si="5"/>
        <v>5020</v>
      </c>
      <c r="L24" s="26">
        <f t="shared" si="2"/>
        <v>1450</v>
      </c>
      <c r="M24" s="25">
        <f t="shared" si="3"/>
        <v>3260</v>
      </c>
    </row>
    <row r="25" spans="1:14" x14ac:dyDescent="0.3">
      <c r="A25" s="38">
        <f t="shared" si="1"/>
        <v>46014</v>
      </c>
      <c r="B25" s="18">
        <v>650</v>
      </c>
      <c r="C25" s="18">
        <v>3520</v>
      </c>
      <c r="D25" s="18">
        <v>0</v>
      </c>
      <c r="E25" s="18">
        <v>3520</v>
      </c>
      <c r="F25" s="15">
        <f t="shared" si="4"/>
        <v>-650</v>
      </c>
      <c r="G25" s="15">
        <f t="shared" si="4"/>
        <v>0</v>
      </c>
      <c r="H25" s="20">
        <v>586.66999999999996</v>
      </c>
      <c r="I25" s="21">
        <v>830</v>
      </c>
      <c r="J25" s="21">
        <v>400</v>
      </c>
      <c r="K25" s="40">
        <f t="shared" si="5"/>
        <v>4170</v>
      </c>
      <c r="L25" s="26">
        <f t="shared" si="2"/>
        <v>-180</v>
      </c>
      <c r="M25" s="25">
        <f t="shared" si="3"/>
        <v>3120</v>
      </c>
      <c r="N25" t="s">
        <v>18</v>
      </c>
    </row>
    <row r="26" spans="1:14" x14ac:dyDescent="0.3">
      <c r="A26" s="38">
        <f t="shared" si="1"/>
        <v>46015</v>
      </c>
      <c r="B26" s="18">
        <v>1160</v>
      </c>
      <c r="C26" s="18">
        <v>750</v>
      </c>
      <c r="D26" s="18">
        <v>0</v>
      </c>
      <c r="E26" s="18">
        <v>750</v>
      </c>
      <c r="F26" s="15">
        <f t="shared" si="4"/>
        <v>-1160</v>
      </c>
      <c r="G26" s="15">
        <f t="shared" si="4"/>
        <v>0</v>
      </c>
      <c r="H26" s="20">
        <v>0</v>
      </c>
      <c r="I26" s="21">
        <v>1710</v>
      </c>
      <c r="J26" s="21">
        <v>9595</v>
      </c>
      <c r="K26" s="40">
        <f t="shared" si="5"/>
        <v>1910</v>
      </c>
      <c r="L26" s="26">
        <f t="shared" si="2"/>
        <v>-550</v>
      </c>
      <c r="M26" s="25">
        <f t="shared" si="3"/>
        <v>-8845</v>
      </c>
    </row>
    <row r="27" spans="1:14" x14ac:dyDescent="0.3">
      <c r="A27" s="38">
        <f t="shared" si="1"/>
        <v>46016</v>
      </c>
      <c r="B27" s="18">
        <v>600</v>
      </c>
      <c r="C27" s="18">
        <v>3750</v>
      </c>
      <c r="D27" s="18">
        <v>0</v>
      </c>
      <c r="E27" s="18">
        <v>3750</v>
      </c>
      <c r="F27" s="15">
        <f t="shared" si="4"/>
        <v>-600</v>
      </c>
      <c r="G27" s="15">
        <f t="shared" si="4"/>
        <v>0</v>
      </c>
      <c r="H27" s="20">
        <v>591.66</v>
      </c>
      <c r="I27" s="21">
        <v>890</v>
      </c>
      <c r="J27" s="21">
        <v>1855</v>
      </c>
      <c r="K27" s="40">
        <f t="shared" si="5"/>
        <v>4350</v>
      </c>
      <c r="L27" s="26">
        <f t="shared" si="2"/>
        <v>-290</v>
      </c>
      <c r="M27" s="25">
        <f t="shared" si="3"/>
        <v>1895</v>
      </c>
    </row>
    <row r="28" spans="1:14" x14ac:dyDescent="0.3">
      <c r="A28" s="38">
        <f t="shared" si="1"/>
        <v>46017</v>
      </c>
      <c r="B28" s="18">
        <v>900</v>
      </c>
      <c r="C28" s="18">
        <v>800</v>
      </c>
      <c r="D28" s="18">
        <v>0</v>
      </c>
      <c r="E28" s="18">
        <v>800</v>
      </c>
      <c r="F28" s="15">
        <f t="shared" si="4"/>
        <v>-900</v>
      </c>
      <c r="G28" s="15">
        <f t="shared" si="4"/>
        <v>0</v>
      </c>
      <c r="H28" s="20">
        <v>0</v>
      </c>
      <c r="I28" s="21">
        <v>50</v>
      </c>
      <c r="J28" s="21">
        <v>4000</v>
      </c>
      <c r="K28" s="40">
        <f t="shared" si="5"/>
        <v>1700</v>
      </c>
      <c r="L28" s="26">
        <f t="shared" si="2"/>
        <v>850</v>
      </c>
      <c r="M28" s="25">
        <f t="shared" si="3"/>
        <v>-3200</v>
      </c>
    </row>
    <row r="29" spans="1:14" x14ac:dyDescent="0.3">
      <c r="A29" s="38">
        <f t="shared" si="1"/>
        <v>46018</v>
      </c>
      <c r="B29" s="18">
        <v>600</v>
      </c>
      <c r="C29" s="18">
        <v>3005</v>
      </c>
      <c r="D29" s="18">
        <v>0</v>
      </c>
      <c r="E29" s="18">
        <v>3005</v>
      </c>
      <c r="F29" s="15">
        <f t="shared" si="4"/>
        <v>-600</v>
      </c>
      <c r="G29" s="15">
        <f t="shared" si="4"/>
        <v>0</v>
      </c>
      <c r="H29" s="20">
        <v>500.83</v>
      </c>
      <c r="I29" s="21">
        <v>60</v>
      </c>
      <c r="J29" s="21">
        <v>0</v>
      </c>
      <c r="K29" s="40">
        <f t="shared" si="5"/>
        <v>3605</v>
      </c>
      <c r="L29" s="26">
        <f t="shared" si="2"/>
        <v>540</v>
      </c>
      <c r="M29" s="25">
        <f t="shared" si="3"/>
        <v>3005</v>
      </c>
    </row>
    <row r="30" spans="1:14" x14ac:dyDescent="0.3">
      <c r="A30" s="38">
        <f t="shared" si="1"/>
        <v>46019</v>
      </c>
      <c r="B30" s="18">
        <v>400</v>
      </c>
      <c r="C30" s="18">
        <v>930</v>
      </c>
      <c r="D30" s="18">
        <v>0</v>
      </c>
      <c r="E30" s="18">
        <v>930</v>
      </c>
      <c r="F30" s="15">
        <f t="shared" si="4"/>
        <v>-400</v>
      </c>
      <c r="G30" s="15">
        <f t="shared" si="4"/>
        <v>0</v>
      </c>
      <c r="H30" s="20">
        <v>155</v>
      </c>
      <c r="I30" s="21">
        <v>160</v>
      </c>
      <c r="J30" s="21">
        <v>0</v>
      </c>
      <c r="K30" s="40">
        <f t="shared" si="5"/>
        <v>1330</v>
      </c>
      <c r="L30" s="26">
        <f t="shared" si="2"/>
        <v>240</v>
      </c>
      <c r="M30" s="25">
        <f t="shared" si="3"/>
        <v>930</v>
      </c>
    </row>
    <row r="31" spans="1:14" x14ac:dyDescent="0.3">
      <c r="A31" s="38">
        <f t="shared" si="1"/>
        <v>46020</v>
      </c>
      <c r="B31" s="18">
        <v>2040</v>
      </c>
      <c r="C31" s="18">
        <v>1300</v>
      </c>
      <c r="D31" s="18">
        <v>0</v>
      </c>
      <c r="E31" s="18">
        <v>1300</v>
      </c>
      <c r="F31" s="15">
        <f t="shared" si="4"/>
        <v>-2040</v>
      </c>
      <c r="G31" s="15">
        <f t="shared" si="4"/>
        <v>0</v>
      </c>
      <c r="H31" s="20">
        <v>216.67</v>
      </c>
      <c r="I31" s="21">
        <v>300</v>
      </c>
      <c r="J31" s="21">
        <v>7800</v>
      </c>
      <c r="K31" s="40">
        <f t="shared" si="5"/>
        <v>3340</v>
      </c>
      <c r="L31" s="26">
        <f t="shared" si="2"/>
        <v>1740</v>
      </c>
      <c r="M31" s="25">
        <f t="shared" si="3"/>
        <v>-6500</v>
      </c>
    </row>
    <row r="32" spans="1:14" x14ac:dyDescent="0.3">
      <c r="A32" s="38">
        <f t="shared" si="1"/>
        <v>46021</v>
      </c>
      <c r="B32" s="18">
        <v>3790</v>
      </c>
      <c r="C32" s="18">
        <v>6500</v>
      </c>
      <c r="D32" s="18">
        <v>0</v>
      </c>
      <c r="E32" s="18">
        <v>6500</v>
      </c>
      <c r="F32" s="15">
        <f t="shared" si="4"/>
        <v>-3790</v>
      </c>
      <c r="G32" s="15">
        <f t="shared" si="4"/>
        <v>0</v>
      </c>
      <c r="H32" s="20">
        <v>1108.32</v>
      </c>
      <c r="I32" s="21">
        <v>6565</v>
      </c>
      <c r="J32" s="21">
        <v>400</v>
      </c>
      <c r="K32" s="40">
        <f t="shared" si="5"/>
        <v>10290</v>
      </c>
      <c r="L32" s="26">
        <f t="shared" si="2"/>
        <v>-2775</v>
      </c>
      <c r="M32" s="25">
        <f t="shared" si="3"/>
        <v>6100</v>
      </c>
    </row>
    <row r="33" spans="1:14" x14ac:dyDescent="0.3">
      <c r="A33" s="38">
        <f t="shared" si="1"/>
        <v>46022</v>
      </c>
      <c r="B33" s="18">
        <v>1500</v>
      </c>
      <c r="C33" s="18">
        <v>7300</v>
      </c>
      <c r="D33" s="18">
        <v>0</v>
      </c>
      <c r="E33" s="18">
        <v>7300</v>
      </c>
      <c r="F33" s="15">
        <f t="shared" si="4"/>
        <v>-1500</v>
      </c>
      <c r="G33" s="15">
        <f t="shared" si="4"/>
        <v>0</v>
      </c>
      <c r="H33" s="20">
        <v>1216.68</v>
      </c>
      <c r="I33" s="21">
        <v>950</v>
      </c>
      <c r="J33" s="33">
        <v>5465</v>
      </c>
      <c r="K33" s="40">
        <f t="shared" si="5"/>
        <v>8800</v>
      </c>
      <c r="L33" s="26">
        <f t="shared" si="2"/>
        <v>550</v>
      </c>
      <c r="M33" s="25">
        <f t="shared" si="3"/>
        <v>1835</v>
      </c>
    </row>
    <row r="34" spans="1:14" s="8" customFormat="1" ht="27.6" customHeight="1" x14ac:dyDescent="0.35">
      <c r="A34" s="24" t="s">
        <v>4</v>
      </c>
      <c r="B34" s="22">
        <f>SUM(B3:B33)</f>
        <v>32840</v>
      </c>
      <c r="C34" s="22">
        <f>SUM(C3:C33)</f>
        <v>98440</v>
      </c>
      <c r="D34" s="22">
        <f>SUM(D3:D33)</f>
        <v>0</v>
      </c>
      <c r="E34" s="22">
        <f t="shared" ref="E34:M34" si="6">SUM(E3:E33)</f>
        <v>98440</v>
      </c>
      <c r="F34" s="15">
        <f t="shared" si="6"/>
        <v>-32840</v>
      </c>
      <c r="G34" s="23">
        <f t="shared" si="6"/>
        <v>0</v>
      </c>
      <c r="H34" s="22">
        <f>SUM(H3:H33)</f>
        <v>15295.86</v>
      </c>
      <c r="I34" s="24">
        <f t="shared" si="6"/>
        <v>30055</v>
      </c>
      <c r="J34" s="24"/>
      <c r="K34" s="32">
        <f t="shared" si="6"/>
        <v>131280</v>
      </c>
      <c r="L34" s="27">
        <f t="shared" si="6"/>
        <v>2785</v>
      </c>
      <c r="M34" s="27">
        <f t="shared" si="6"/>
        <v>7255</v>
      </c>
      <c r="N34" s="13"/>
    </row>
    <row r="35" spans="1:14" x14ac:dyDescent="0.3">
      <c r="K35" s="37"/>
    </row>
    <row r="37" spans="1:14" ht="18" x14ac:dyDescent="0.3">
      <c r="G37" s="51" t="s">
        <v>14</v>
      </c>
      <c r="H37" s="51"/>
      <c r="I37" s="12">
        <f>SUM(K3:K33)</f>
        <v>131280</v>
      </c>
    </row>
    <row r="38" spans="1:14" ht="18" x14ac:dyDescent="0.3">
      <c r="G38" s="51" t="s">
        <v>16</v>
      </c>
      <c r="H38" s="51"/>
      <c r="I38" s="12">
        <f>SUM(+I34+J34)</f>
        <v>30055</v>
      </c>
    </row>
    <row r="39" spans="1:14" ht="18" x14ac:dyDescent="0.3">
      <c r="G39" s="51" t="s">
        <v>15</v>
      </c>
      <c r="H39" s="51"/>
      <c r="I39" s="12">
        <f>SUM(L34+M34)</f>
        <v>10040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9"/>
  <sheetViews>
    <sheetView topLeftCell="A8" workbookViewId="0">
      <selection activeCell="I3" sqref="I3"/>
    </sheetView>
  </sheetViews>
  <sheetFormatPr defaultRowHeight="15.6" x14ac:dyDescent="0.3"/>
  <cols>
    <col min="1" max="1" width="22.33203125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9" t="s">
        <v>3</v>
      </c>
      <c r="L2" s="11" t="s">
        <v>12</v>
      </c>
      <c r="M2" s="11" t="s">
        <v>13</v>
      </c>
    </row>
    <row r="3" spans="1:14" x14ac:dyDescent="0.3">
      <c r="A3" s="38">
        <v>45962</v>
      </c>
      <c r="B3" s="14">
        <v>2300</v>
      </c>
      <c r="C3" s="14">
        <v>1895</v>
      </c>
      <c r="D3" s="14">
        <v>0</v>
      </c>
      <c r="E3" s="14">
        <v>1895</v>
      </c>
      <c r="F3" s="15">
        <f>SUM(D3-B3)</f>
        <v>-2300</v>
      </c>
      <c r="G3" s="15">
        <f>SUM(E3-C3)</f>
        <v>0</v>
      </c>
      <c r="H3" s="16">
        <v>331.67</v>
      </c>
      <c r="I3" s="17">
        <v>440</v>
      </c>
      <c r="J3" s="17">
        <v>1735</v>
      </c>
      <c r="K3" s="40">
        <f>+E3+B3</f>
        <v>4195</v>
      </c>
      <c r="L3" s="25">
        <f>SUM(B3-I3)</f>
        <v>1860</v>
      </c>
      <c r="M3" s="25">
        <f>SUM(E3-J3)</f>
        <v>160</v>
      </c>
    </row>
    <row r="4" spans="1:14" x14ac:dyDescent="0.3">
      <c r="A4" s="38">
        <f t="shared" ref="A4:A32" si="0">+A3+1</f>
        <v>45963</v>
      </c>
      <c r="B4" s="18">
        <v>370</v>
      </c>
      <c r="C4" s="18">
        <v>1850</v>
      </c>
      <c r="D4" s="18">
        <v>0</v>
      </c>
      <c r="E4" s="18">
        <v>1850</v>
      </c>
      <c r="F4" s="15">
        <f>SUM(D4-B4)</f>
        <v>-370</v>
      </c>
      <c r="G4" s="15">
        <f>SUM(E4-C4)</f>
        <v>0</v>
      </c>
      <c r="H4" s="20">
        <v>308.33</v>
      </c>
      <c r="I4" s="21">
        <v>100</v>
      </c>
      <c r="J4" s="21">
        <v>395</v>
      </c>
      <c r="K4" s="40">
        <f t="shared" ref="K4:K33" si="1">+E4+B4</f>
        <v>2220</v>
      </c>
      <c r="L4" s="26">
        <f t="shared" ref="L4:L33" si="2">SUM(B4-I4)</f>
        <v>270</v>
      </c>
      <c r="M4" s="25">
        <f t="shared" ref="M4:M33" si="3">SUM(E4-J4)</f>
        <v>1455</v>
      </c>
    </row>
    <row r="5" spans="1:14" x14ac:dyDescent="0.3">
      <c r="A5" s="38">
        <f t="shared" si="0"/>
        <v>45964</v>
      </c>
      <c r="B5" s="18">
        <v>640</v>
      </c>
      <c r="C5" s="18">
        <v>1050</v>
      </c>
      <c r="D5" s="18">
        <v>0</v>
      </c>
      <c r="E5" s="18">
        <v>1050</v>
      </c>
      <c r="F5" s="15">
        <f t="shared" ref="F5:G33" si="4">SUM(D5-B5)</f>
        <v>-640</v>
      </c>
      <c r="G5" s="15">
        <f t="shared" si="4"/>
        <v>0</v>
      </c>
      <c r="H5" s="20">
        <v>66.67</v>
      </c>
      <c r="I5" s="21">
        <v>175</v>
      </c>
      <c r="J5" s="21">
        <v>0</v>
      </c>
      <c r="K5" s="40">
        <f t="shared" si="1"/>
        <v>1690</v>
      </c>
      <c r="L5" s="26">
        <f t="shared" si="2"/>
        <v>465</v>
      </c>
      <c r="M5" s="25">
        <f t="shared" si="3"/>
        <v>1050</v>
      </c>
    </row>
    <row r="6" spans="1:14" x14ac:dyDescent="0.3">
      <c r="A6" s="38">
        <f t="shared" si="0"/>
        <v>45965</v>
      </c>
      <c r="B6" s="18">
        <v>1150</v>
      </c>
      <c r="C6" s="18">
        <v>3370</v>
      </c>
      <c r="D6" s="18">
        <v>0</v>
      </c>
      <c r="E6" s="18">
        <v>3370</v>
      </c>
      <c r="F6" s="15">
        <f t="shared" si="4"/>
        <v>-1150</v>
      </c>
      <c r="G6" s="15">
        <f t="shared" si="4"/>
        <v>0</v>
      </c>
      <c r="H6" s="20">
        <v>527.5</v>
      </c>
      <c r="I6" s="21">
        <v>890</v>
      </c>
      <c r="J6" s="21">
        <v>0</v>
      </c>
      <c r="K6" s="40">
        <f t="shared" si="1"/>
        <v>4520</v>
      </c>
      <c r="L6" s="26">
        <f t="shared" si="2"/>
        <v>260</v>
      </c>
      <c r="M6" s="25">
        <f t="shared" si="3"/>
        <v>3370</v>
      </c>
    </row>
    <row r="7" spans="1:14" x14ac:dyDescent="0.3">
      <c r="A7" s="38">
        <f t="shared" si="0"/>
        <v>45966</v>
      </c>
      <c r="B7" s="18">
        <v>1200</v>
      </c>
      <c r="C7" s="18">
        <v>6155</v>
      </c>
      <c r="D7" s="18">
        <v>0</v>
      </c>
      <c r="E7" s="18">
        <v>6155</v>
      </c>
      <c r="F7" s="15">
        <f t="shared" si="4"/>
        <v>-1200</v>
      </c>
      <c r="G7" s="15">
        <f t="shared" si="4"/>
        <v>0</v>
      </c>
      <c r="H7" s="20">
        <v>1030.01</v>
      </c>
      <c r="I7" s="21">
        <v>655</v>
      </c>
      <c r="J7" s="21">
        <v>0</v>
      </c>
      <c r="K7" s="40">
        <f t="shared" si="1"/>
        <v>7355</v>
      </c>
      <c r="L7" s="26">
        <f t="shared" si="2"/>
        <v>545</v>
      </c>
      <c r="M7" s="25">
        <f t="shared" si="3"/>
        <v>6155</v>
      </c>
    </row>
    <row r="8" spans="1:14" x14ac:dyDescent="0.3">
      <c r="A8" s="38">
        <f t="shared" si="0"/>
        <v>45967</v>
      </c>
      <c r="B8" s="18">
        <v>1200</v>
      </c>
      <c r="C8" s="18">
        <v>1770</v>
      </c>
      <c r="D8" s="18">
        <v>0</v>
      </c>
      <c r="E8" s="18">
        <v>1770</v>
      </c>
      <c r="F8" s="15">
        <f t="shared" si="4"/>
        <v>-1200</v>
      </c>
      <c r="G8" s="15">
        <f t="shared" si="4"/>
        <v>0</v>
      </c>
      <c r="H8" s="20">
        <v>310.83</v>
      </c>
      <c r="I8" s="21">
        <v>150</v>
      </c>
      <c r="J8" s="21">
        <v>700</v>
      </c>
      <c r="K8" s="40">
        <f t="shared" si="1"/>
        <v>2970</v>
      </c>
      <c r="L8" s="26">
        <f t="shared" si="2"/>
        <v>1050</v>
      </c>
      <c r="M8" s="25">
        <f t="shared" si="3"/>
        <v>1070</v>
      </c>
    </row>
    <row r="9" spans="1:14" x14ac:dyDescent="0.3">
      <c r="A9" s="38">
        <f t="shared" si="0"/>
        <v>45968</v>
      </c>
      <c r="B9" s="18">
        <v>300</v>
      </c>
      <c r="C9" s="18">
        <v>1210</v>
      </c>
      <c r="D9" s="18">
        <v>0</v>
      </c>
      <c r="E9" s="18">
        <v>1210</v>
      </c>
      <c r="F9" s="15">
        <f t="shared" si="4"/>
        <v>-300</v>
      </c>
      <c r="G9" s="15">
        <f t="shared" si="4"/>
        <v>0</v>
      </c>
      <c r="H9" s="20">
        <v>201.66</v>
      </c>
      <c r="I9" s="21">
        <v>1900</v>
      </c>
      <c r="J9" s="21">
        <v>3305</v>
      </c>
      <c r="K9" s="40">
        <f t="shared" si="1"/>
        <v>1510</v>
      </c>
      <c r="L9" s="26">
        <f t="shared" si="2"/>
        <v>-1600</v>
      </c>
      <c r="M9" s="25">
        <f t="shared" si="3"/>
        <v>-2095</v>
      </c>
    </row>
    <row r="10" spans="1:14" x14ac:dyDescent="0.3">
      <c r="A10" s="38">
        <f t="shared" si="0"/>
        <v>45969</v>
      </c>
      <c r="B10" s="18">
        <v>3370</v>
      </c>
      <c r="C10" s="18">
        <v>2220</v>
      </c>
      <c r="D10" s="18">
        <v>0</v>
      </c>
      <c r="E10" s="18">
        <v>2220</v>
      </c>
      <c r="F10" s="15">
        <f t="shared" si="4"/>
        <v>-3370</v>
      </c>
      <c r="G10" s="15">
        <f t="shared" si="4"/>
        <v>0</v>
      </c>
      <c r="H10" s="20">
        <v>328.34</v>
      </c>
      <c r="I10" s="21">
        <v>150</v>
      </c>
      <c r="J10" s="21">
        <v>0</v>
      </c>
      <c r="K10" s="40">
        <f t="shared" si="1"/>
        <v>5590</v>
      </c>
      <c r="L10" s="26">
        <f t="shared" si="2"/>
        <v>3220</v>
      </c>
      <c r="M10" s="25">
        <f t="shared" si="3"/>
        <v>2220</v>
      </c>
    </row>
    <row r="11" spans="1:14" x14ac:dyDescent="0.3">
      <c r="A11" s="38">
        <f t="shared" si="0"/>
        <v>45970</v>
      </c>
      <c r="B11" s="18">
        <v>700</v>
      </c>
      <c r="C11" s="18">
        <v>2170</v>
      </c>
      <c r="D11" s="18">
        <v>0</v>
      </c>
      <c r="E11" s="18">
        <v>2170</v>
      </c>
      <c r="F11" s="15">
        <f t="shared" si="4"/>
        <v>-700</v>
      </c>
      <c r="G11" s="15">
        <f t="shared" si="4"/>
        <v>0</v>
      </c>
      <c r="H11" s="20">
        <v>374.16</v>
      </c>
      <c r="I11" s="21">
        <v>305</v>
      </c>
      <c r="J11" s="21">
        <v>1540</v>
      </c>
      <c r="K11" s="40">
        <f t="shared" si="1"/>
        <v>2870</v>
      </c>
      <c r="L11" s="26">
        <f t="shared" si="2"/>
        <v>395</v>
      </c>
      <c r="M11" s="25">
        <f t="shared" si="3"/>
        <v>630</v>
      </c>
    </row>
    <row r="12" spans="1:14" x14ac:dyDescent="0.3">
      <c r="A12" s="38">
        <f t="shared" si="0"/>
        <v>45971</v>
      </c>
      <c r="B12" s="18">
        <v>900</v>
      </c>
      <c r="C12" s="18">
        <v>4500</v>
      </c>
      <c r="D12" s="18">
        <v>0</v>
      </c>
      <c r="E12" s="18">
        <v>4500</v>
      </c>
      <c r="F12" s="15">
        <f t="shared" si="4"/>
        <v>-900</v>
      </c>
      <c r="G12" s="15">
        <f t="shared" si="4"/>
        <v>0</v>
      </c>
      <c r="H12" s="20">
        <v>750.01</v>
      </c>
      <c r="I12" s="21">
        <v>160</v>
      </c>
      <c r="J12" s="21">
        <v>26130</v>
      </c>
      <c r="K12" s="40">
        <f t="shared" si="1"/>
        <v>5400</v>
      </c>
      <c r="L12" s="26">
        <f t="shared" si="2"/>
        <v>740</v>
      </c>
      <c r="M12" s="25">
        <f t="shared" si="3"/>
        <v>-21630</v>
      </c>
      <c r="N12" t="s">
        <v>17</v>
      </c>
    </row>
    <row r="13" spans="1:14" x14ac:dyDescent="0.3">
      <c r="A13" s="38">
        <f t="shared" si="0"/>
        <v>45972</v>
      </c>
      <c r="B13" s="18">
        <v>250</v>
      </c>
      <c r="C13" s="18">
        <v>1300</v>
      </c>
      <c r="D13" s="18">
        <v>0</v>
      </c>
      <c r="E13" s="18">
        <v>1300</v>
      </c>
      <c r="F13" s="15">
        <f t="shared" si="4"/>
        <v>-250</v>
      </c>
      <c r="G13" s="15">
        <f t="shared" si="4"/>
        <v>0</v>
      </c>
      <c r="H13" s="20">
        <v>216.67</v>
      </c>
      <c r="I13" s="21">
        <v>465</v>
      </c>
      <c r="J13" s="21">
        <v>2310</v>
      </c>
      <c r="K13" s="40">
        <f t="shared" si="1"/>
        <v>1550</v>
      </c>
      <c r="L13" s="26">
        <f t="shared" si="2"/>
        <v>-215</v>
      </c>
      <c r="M13" s="25">
        <f t="shared" si="3"/>
        <v>-1010</v>
      </c>
    </row>
    <row r="14" spans="1:14" x14ac:dyDescent="0.3">
      <c r="A14" s="38">
        <f t="shared" si="0"/>
        <v>45973</v>
      </c>
      <c r="B14" s="18">
        <v>1850</v>
      </c>
      <c r="C14" s="18">
        <v>2920</v>
      </c>
      <c r="D14" s="18">
        <v>0</v>
      </c>
      <c r="E14" s="18">
        <v>2920</v>
      </c>
      <c r="F14" s="15">
        <f t="shared" si="4"/>
        <v>-1850</v>
      </c>
      <c r="G14" s="15">
        <f t="shared" si="4"/>
        <v>0</v>
      </c>
      <c r="H14" s="20">
        <v>433.34</v>
      </c>
      <c r="I14" s="21">
        <v>3410</v>
      </c>
      <c r="J14" s="21">
        <v>8500</v>
      </c>
      <c r="K14" s="40">
        <f t="shared" si="1"/>
        <v>4770</v>
      </c>
      <c r="L14" s="26">
        <f t="shared" si="2"/>
        <v>-1560</v>
      </c>
      <c r="M14" s="25">
        <f t="shared" si="3"/>
        <v>-5580</v>
      </c>
    </row>
    <row r="15" spans="1:14" x14ac:dyDescent="0.3">
      <c r="A15" s="38">
        <f t="shared" si="0"/>
        <v>45974</v>
      </c>
      <c r="B15" s="18">
        <v>1130</v>
      </c>
      <c r="C15" s="18">
        <v>5040</v>
      </c>
      <c r="D15" s="18">
        <v>0</v>
      </c>
      <c r="E15" s="18">
        <v>5040</v>
      </c>
      <c r="F15" s="15">
        <f t="shared" si="4"/>
        <v>-1130</v>
      </c>
      <c r="G15" s="15">
        <f t="shared" si="4"/>
        <v>0</v>
      </c>
      <c r="H15" s="20">
        <v>773.33</v>
      </c>
      <c r="I15" s="21">
        <v>1550</v>
      </c>
      <c r="J15" s="21">
        <v>2320</v>
      </c>
      <c r="K15" s="40">
        <f t="shared" si="1"/>
        <v>6170</v>
      </c>
      <c r="L15" s="26">
        <f t="shared" si="2"/>
        <v>-420</v>
      </c>
      <c r="M15" s="25">
        <f t="shared" si="3"/>
        <v>2720</v>
      </c>
    </row>
    <row r="16" spans="1:14" x14ac:dyDescent="0.3">
      <c r="A16" s="38">
        <f t="shared" si="0"/>
        <v>45975</v>
      </c>
      <c r="B16" s="18">
        <v>710</v>
      </c>
      <c r="C16" s="18">
        <v>1150</v>
      </c>
      <c r="D16" s="18">
        <v>0</v>
      </c>
      <c r="E16" s="18">
        <v>1150</v>
      </c>
      <c r="F16" s="15">
        <f t="shared" si="4"/>
        <v>-710</v>
      </c>
      <c r="G16" s="15">
        <f t="shared" si="4"/>
        <v>0</v>
      </c>
      <c r="H16" s="20">
        <v>191.67</v>
      </c>
      <c r="I16" s="21">
        <v>700</v>
      </c>
      <c r="J16" s="21">
        <v>0</v>
      </c>
      <c r="K16" s="40">
        <f t="shared" si="1"/>
        <v>1860</v>
      </c>
      <c r="L16" s="26">
        <f t="shared" si="2"/>
        <v>10</v>
      </c>
      <c r="M16" s="25">
        <f t="shared" si="3"/>
        <v>1150</v>
      </c>
    </row>
    <row r="17" spans="1:14" x14ac:dyDescent="0.3">
      <c r="A17" s="38">
        <f t="shared" si="0"/>
        <v>45976</v>
      </c>
      <c r="B17" s="18">
        <v>1100</v>
      </c>
      <c r="C17" s="18">
        <v>1130</v>
      </c>
      <c r="D17" s="18">
        <v>0</v>
      </c>
      <c r="E17" s="18">
        <v>1130</v>
      </c>
      <c r="F17" s="15">
        <f t="shared" si="4"/>
        <v>-1100</v>
      </c>
      <c r="G17" s="15">
        <f t="shared" si="4"/>
        <v>0</v>
      </c>
      <c r="H17" s="20">
        <v>76.67</v>
      </c>
      <c r="I17" s="21">
        <v>595</v>
      </c>
      <c r="J17" s="21">
        <v>1500</v>
      </c>
      <c r="K17" s="40">
        <f t="shared" si="1"/>
        <v>2230</v>
      </c>
      <c r="L17" s="26">
        <f t="shared" si="2"/>
        <v>505</v>
      </c>
      <c r="M17" s="25">
        <f t="shared" si="3"/>
        <v>-370</v>
      </c>
    </row>
    <row r="18" spans="1:14" x14ac:dyDescent="0.3">
      <c r="A18" s="38">
        <f t="shared" si="0"/>
        <v>45977</v>
      </c>
      <c r="B18" s="18">
        <v>70</v>
      </c>
      <c r="C18" s="18">
        <v>4580</v>
      </c>
      <c r="D18" s="18">
        <v>0</v>
      </c>
      <c r="E18" s="18">
        <v>4580</v>
      </c>
      <c r="F18" s="15">
        <f t="shared" si="4"/>
        <v>-70</v>
      </c>
      <c r="G18" s="15">
        <f t="shared" si="4"/>
        <v>0</v>
      </c>
      <c r="H18" s="20">
        <v>763.33</v>
      </c>
      <c r="I18" s="21">
        <v>295</v>
      </c>
      <c r="J18" s="21">
        <v>0</v>
      </c>
      <c r="K18" s="40">
        <f t="shared" si="1"/>
        <v>4650</v>
      </c>
      <c r="L18" s="26">
        <f t="shared" si="2"/>
        <v>-225</v>
      </c>
      <c r="M18" s="25">
        <f t="shared" si="3"/>
        <v>4580</v>
      </c>
    </row>
    <row r="19" spans="1:14" x14ac:dyDescent="0.3">
      <c r="A19" s="38">
        <f t="shared" si="0"/>
        <v>45978</v>
      </c>
      <c r="B19" s="18">
        <v>250</v>
      </c>
      <c r="C19" s="18">
        <v>2880</v>
      </c>
      <c r="D19" s="18">
        <v>0</v>
      </c>
      <c r="E19" s="18">
        <v>2880</v>
      </c>
      <c r="F19" s="15">
        <f t="shared" si="4"/>
        <v>-250</v>
      </c>
      <c r="G19" s="15">
        <f t="shared" si="4"/>
        <v>0</v>
      </c>
      <c r="H19" s="20">
        <v>480</v>
      </c>
      <c r="I19" s="21">
        <v>1270</v>
      </c>
      <c r="J19" s="21">
        <v>0</v>
      </c>
      <c r="K19" s="40">
        <f t="shared" si="1"/>
        <v>3130</v>
      </c>
      <c r="L19" s="26">
        <f t="shared" si="2"/>
        <v>-1020</v>
      </c>
      <c r="M19" s="25">
        <f t="shared" si="3"/>
        <v>2880</v>
      </c>
    </row>
    <row r="20" spans="1:14" x14ac:dyDescent="0.3">
      <c r="A20" s="38">
        <f t="shared" si="0"/>
        <v>45979</v>
      </c>
      <c r="B20" s="18">
        <v>200</v>
      </c>
      <c r="C20" s="18">
        <v>4110</v>
      </c>
      <c r="D20" s="18">
        <v>0</v>
      </c>
      <c r="E20" s="18">
        <v>4110</v>
      </c>
      <c r="F20" s="15">
        <f t="shared" si="4"/>
        <v>-200</v>
      </c>
      <c r="G20" s="15">
        <f t="shared" si="4"/>
        <v>0</v>
      </c>
      <c r="H20" s="20">
        <v>685</v>
      </c>
      <c r="I20" s="21">
        <v>555</v>
      </c>
      <c r="J20" s="21">
        <v>4050</v>
      </c>
      <c r="K20" s="40">
        <f t="shared" si="1"/>
        <v>4310</v>
      </c>
      <c r="L20" s="26">
        <f t="shared" si="2"/>
        <v>-355</v>
      </c>
      <c r="M20" s="25">
        <f t="shared" si="3"/>
        <v>60</v>
      </c>
    </row>
    <row r="21" spans="1:14" x14ac:dyDescent="0.3">
      <c r="A21" s="38">
        <f t="shared" si="0"/>
        <v>45980</v>
      </c>
      <c r="B21" s="18">
        <v>850</v>
      </c>
      <c r="C21" s="18">
        <v>410</v>
      </c>
      <c r="D21" s="18">
        <v>0</v>
      </c>
      <c r="E21" s="18">
        <v>410</v>
      </c>
      <c r="F21" s="15">
        <f t="shared" si="4"/>
        <v>-850</v>
      </c>
      <c r="G21" s="15">
        <f t="shared" si="4"/>
        <v>0</v>
      </c>
      <c r="H21" s="20">
        <v>68.33</v>
      </c>
      <c r="I21" s="21">
        <v>305</v>
      </c>
      <c r="J21" s="21">
        <v>0</v>
      </c>
      <c r="K21" s="40">
        <f t="shared" si="1"/>
        <v>1260</v>
      </c>
      <c r="L21" s="26">
        <f t="shared" si="2"/>
        <v>545</v>
      </c>
      <c r="M21" s="25">
        <f t="shared" si="3"/>
        <v>410</v>
      </c>
    </row>
    <row r="22" spans="1:14" x14ac:dyDescent="0.3">
      <c r="A22" s="38">
        <f t="shared" si="0"/>
        <v>45981</v>
      </c>
      <c r="B22" s="18">
        <v>3500</v>
      </c>
      <c r="C22" s="18">
        <v>2080</v>
      </c>
      <c r="D22" s="18">
        <v>0</v>
      </c>
      <c r="E22" s="18">
        <v>2080</v>
      </c>
      <c r="F22" s="15">
        <f t="shared" si="4"/>
        <v>-3500</v>
      </c>
      <c r="G22" s="15">
        <f t="shared" si="4"/>
        <v>0</v>
      </c>
      <c r="H22" s="20">
        <v>356.67</v>
      </c>
      <c r="I22" s="21">
        <v>510</v>
      </c>
      <c r="J22" s="21">
        <v>6535</v>
      </c>
      <c r="K22" s="40">
        <f t="shared" si="1"/>
        <v>5580</v>
      </c>
      <c r="L22" s="26">
        <f t="shared" si="2"/>
        <v>2990</v>
      </c>
      <c r="M22" s="25">
        <f t="shared" si="3"/>
        <v>-4455</v>
      </c>
    </row>
    <row r="23" spans="1:14" x14ac:dyDescent="0.3">
      <c r="A23" s="38">
        <f t="shared" si="0"/>
        <v>45982</v>
      </c>
      <c r="B23" s="18">
        <v>1150</v>
      </c>
      <c r="C23" s="18">
        <v>2350</v>
      </c>
      <c r="D23" s="18">
        <v>0</v>
      </c>
      <c r="E23" s="18">
        <v>2350</v>
      </c>
      <c r="F23" s="15">
        <f t="shared" si="4"/>
        <v>-1150</v>
      </c>
      <c r="G23" s="15">
        <f t="shared" si="4"/>
        <v>0</v>
      </c>
      <c r="H23" s="20">
        <v>391.66</v>
      </c>
      <c r="I23" s="21">
        <v>825</v>
      </c>
      <c r="J23" s="21">
        <v>805</v>
      </c>
      <c r="K23" s="40">
        <f t="shared" si="1"/>
        <v>3500</v>
      </c>
      <c r="L23" s="26">
        <f t="shared" si="2"/>
        <v>325</v>
      </c>
      <c r="M23" s="25">
        <f t="shared" si="3"/>
        <v>1545</v>
      </c>
    </row>
    <row r="24" spans="1:14" x14ac:dyDescent="0.3">
      <c r="A24" s="38">
        <f t="shared" si="0"/>
        <v>45983</v>
      </c>
      <c r="B24" s="18">
        <v>2590</v>
      </c>
      <c r="C24" s="18">
        <v>3075</v>
      </c>
      <c r="D24" s="18">
        <v>0</v>
      </c>
      <c r="E24" s="18">
        <v>3075</v>
      </c>
      <c r="F24" s="15">
        <f t="shared" si="4"/>
        <v>-2590</v>
      </c>
      <c r="G24" s="15">
        <f t="shared" si="4"/>
        <v>0</v>
      </c>
      <c r="H24" s="20">
        <v>466.67</v>
      </c>
      <c r="I24" s="21">
        <v>105</v>
      </c>
      <c r="J24" s="21">
        <v>0</v>
      </c>
      <c r="K24" s="40">
        <f t="shared" si="1"/>
        <v>5665</v>
      </c>
      <c r="L24" s="26">
        <f t="shared" si="2"/>
        <v>2485</v>
      </c>
      <c r="M24" s="25">
        <f t="shared" si="3"/>
        <v>3075</v>
      </c>
    </row>
    <row r="25" spans="1:14" x14ac:dyDescent="0.3">
      <c r="A25" s="38">
        <f t="shared" si="0"/>
        <v>45984</v>
      </c>
      <c r="B25" s="18">
        <v>250</v>
      </c>
      <c r="C25" s="18">
        <v>5450</v>
      </c>
      <c r="D25" s="18">
        <v>0</v>
      </c>
      <c r="E25" s="18">
        <v>5450</v>
      </c>
      <c r="F25" s="15">
        <f t="shared" si="4"/>
        <v>-250</v>
      </c>
      <c r="G25" s="15">
        <f t="shared" si="4"/>
        <v>0</v>
      </c>
      <c r="H25" s="20">
        <v>896.66</v>
      </c>
      <c r="I25" s="21">
        <v>430</v>
      </c>
      <c r="J25" s="21">
        <v>0</v>
      </c>
      <c r="K25" s="40">
        <f t="shared" si="1"/>
        <v>5700</v>
      </c>
      <c r="L25" s="26">
        <f t="shared" si="2"/>
        <v>-180</v>
      </c>
      <c r="M25" s="25">
        <f t="shared" si="3"/>
        <v>5450</v>
      </c>
      <c r="N25" t="s">
        <v>18</v>
      </c>
    </row>
    <row r="26" spans="1:14" x14ac:dyDescent="0.3">
      <c r="A26" s="38">
        <f t="shared" si="0"/>
        <v>45985</v>
      </c>
      <c r="B26" s="18">
        <v>2300</v>
      </c>
      <c r="C26" s="18">
        <v>3175</v>
      </c>
      <c r="D26" s="18">
        <v>0</v>
      </c>
      <c r="E26" s="18">
        <v>3175</v>
      </c>
      <c r="F26" s="15">
        <f t="shared" si="4"/>
        <v>-2300</v>
      </c>
      <c r="G26" s="15">
        <f t="shared" si="4"/>
        <v>0</v>
      </c>
      <c r="H26" s="20">
        <v>529.17999999999995</v>
      </c>
      <c r="I26" s="21">
        <v>300</v>
      </c>
      <c r="J26" s="21">
        <v>14995</v>
      </c>
      <c r="K26" s="40">
        <f t="shared" si="1"/>
        <v>5475</v>
      </c>
      <c r="L26" s="26">
        <f t="shared" si="2"/>
        <v>2000</v>
      </c>
      <c r="M26" s="25">
        <f t="shared" si="3"/>
        <v>-11820</v>
      </c>
    </row>
    <row r="27" spans="1:14" x14ac:dyDescent="0.3">
      <c r="A27" s="38">
        <f t="shared" si="0"/>
        <v>45986</v>
      </c>
      <c r="B27" s="18">
        <v>150</v>
      </c>
      <c r="C27" s="18">
        <v>1440</v>
      </c>
      <c r="D27" s="18">
        <v>0</v>
      </c>
      <c r="E27" s="18">
        <v>1440</v>
      </c>
      <c r="F27" s="15">
        <f t="shared" si="4"/>
        <v>-150</v>
      </c>
      <c r="G27" s="15">
        <f t="shared" si="4"/>
        <v>0</v>
      </c>
      <c r="H27" s="20">
        <v>240</v>
      </c>
      <c r="I27" s="21">
        <v>250</v>
      </c>
      <c r="J27" s="21">
        <v>0</v>
      </c>
      <c r="K27" s="40">
        <f t="shared" si="1"/>
        <v>1590</v>
      </c>
      <c r="L27" s="26">
        <f t="shared" si="2"/>
        <v>-100</v>
      </c>
      <c r="M27" s="25">
        <f t="shared" si="3"/>
        <v>1440</v>
      </c>
    </row>
    <row r="28" spans="1:14" x14ac:dyDescent="0.3">
      <c r="A28" s="38">
        <f t="shared" si="0"/>
        <v>45987</v>
      </c>
      <c r="B28" s="18">
        <v>220</v>
      </c>
      <c r="C28" s="18">
        <v>600</v>
      </c>
      <c r="D28" s="18">
        <v>0</v>
      </c>
      <c r="E28" s="18">
        <v>600</v>
      </c>
      <c r="F28" s="15">
        <f t="shared" si="4"/>
        <v>-220</v>
      </c>
      <c r="G28" s="15">
        <f t="shared" si="4"/>
        <v>0</v>
      </c>
      <c r="H28" s="20">
        <v>100</v>
      </c>
      <c r="I28" s="21">
        <v>385</v>
      </c>
      <c r="J28" s="21">
        <v>0</v>
      </c>
      <c r="K28" s="40">
        <f t="shared" si="1"/>
        <v>820</v>
      </c>
      <c r="L28" s="26">
        <f t="shared" si="2"/>
        <v>-165</v>
      </c>
      <c r="M28" s="25">
        <f t="shared" si="3"/>
        <v>600</v>
      </c>
    </row>
    <row r="29" spans="1:14" x14ac:dyDescent="0.3">
      <c r="A29" s="38">
        <f t="shared" si="0"/>
        <v>45988</v>
      </c>
      <c r="B29" s="18">
        <v>930</v>
      </c>
      <c r="C29" s="18">
        <v>500</v>
      </c>
      <c r="D29" s="18">
        <v>0</v>
      </c>
      <c r="E29" s="18">
        <v>500</v>
      </c>
      <c r="F29" s="15">
        <f t="shared" si="4"/>
        <v>-930</v>
      </c>
      <c r="G29" s="15">
        <f t="shared" si="4"/>
        <v>0</v>
      </c>
      <c r="H29" s="20">
        <v>83.34</v>
      </c>
      <c r="I29" s="21">
        <v>650</v>
      </c>
      <c r="J29" s="21">
        <v>1120</v>
      </c>
      <c r="K29" s="40">
        <f t="shared" si="1"/>
        <v>1430</v>
      </c>
      <c r="L29" s="26">
        <f t="shared" si="2"/>
        <v>280</v>
      </c>
      <c r="M29" s="25">
        <f t="shared" si="3"/>
        <v>-620</v>
      </c>
    </row>
    <row r="30" spans="1:14" x14ac:dyDescent="0.3">
      <c r="A30" s="38">
        <f t="shared" si="0"/>
        <v>45989</v>
      </c>
      <c r="B30" s="18">
        <v>1500</v>
      </c>
      <c r="C30" s="18">
        <v>1160</v>
      </c>
      <c r="D30" s="18">
        <v>0</v>
      </c>
      <c r="E30" s="18">
        <v>1160</v>
      </c>
      <c r="F30" s="15">
        <f t="shared" si="4"/>
        <v>-1500</v>
      </c>
      <c r="G30" s="15">
        <f t="shared" si="4"/>
        <v>0</v>
      </c>
      <c r="H30" s="20">
        <v>193.33</v>
      </c>
      <c r="I30" s="21">
        <v>7975</v>
      </c>
      <c r="J30" s="21">
        <v>10960</v>
      </c>
      <c r="K30" s="40">
        <f t="shared" si="1"/>
        <v>2660</v>
      </c>
      <c r="L30" s="26">
        <f t="shared" si="2"/>
        <v>-6475</v>
      </c>
      <c r="M30" s="25">
        <f t="shared" si="3"/>
        <v>-9800</v>
      </c>
    </row>
    <row r="31" spans="1:14" x14ac:dyDescent="0.3">
      <c r="A31" s="38">
        <f t="shared" si="0"/>
        <v>45990</v>
      </c>
      <c r="B31" s="18"/>
      <c r="C31" s="18"/>
      <c r="D31" s="18"/>
      <c r="E31" s="18"/>
      <c r="F31" s="15">
        <f t="shared" si="4"/>
        <v>0</v>
      </c>
      <c r="G31" s="15">
        <f t="shared" si="4"/>
        <v>0</v>
      </c>
      <c r="H31" s="20"/>
      <c r="I31" s="21"/>
      <c r="J31" s="21"/>
      <c r="K31" s="40">
        <f t="shared" si="1"/>
        <v>0</v>
      </c>
      <c r="L31" s="26">
        <f t="shared" si="2"/>
        <v>0</v>
      </c>
      <c r="M31" s="25">
        <f t="shared" si="3"/>
        <v>0</v>
      </c>
    </row>
    <row r="32" spans="1:14" x14ac:dyDescent="0.3">
      <c r="A32" s="38">
        <f t="shared" si="0"/>
        <v>45991</v>
      </c>
      <c r="B32" s="18"/>
      <c r="C32" s="18"/>
      <c r="D32" s="18"/>
      <c r="E32" s="18"/>
      <c r="F32" s="15">
        <f t="shared" si="4"/>
        <v>0</v>
      </c>
      <c r="G32" s="15">
        <f t="shared" si="4"/>
        <v>0</v>
      </c>
      <c r="H32" s="20"/>
      <c r="I32" s="21"/>
      <c r="J32" s="21"/>
      <c r="K32" s="40">
        <f t="shared" si="1"/>
        <v>0</v>
      </c>
      <c r="L32" s="26">
        <f t="shared" si="2"/>
        <v>0</v>
      </c>
      <c r="M32" s="25">
        <f t="shared" si="3"/>
        <v>0</v>
      </c>
    </row>
    <row r="33" spans="1:14" x14ac:dyDescent="0.3">
      <c r="A33" s="38"/>
      <c r="B33" s="18"/>
      <c r="C33" s="18"/>
      <c r="D33" s="18"/>
      <c r="E33" s="18"/>
      <c r="F33" s="15">
        <f t="shared" si="4"/>
        <v>0</v>
      </c>
      <c r="G33" s="15">
        <f t="shared" si="4"/>
        <v>0</v>
      </c>
      <c r="H33" s="20"/>
      <c r="I33" s="21"/>
      <c r="J33" s="33"/>
      <c r="K33" s="40">
        <f t="shared" si="1"/>
        <v>0</v>
      </c>
      <c r="L33" s="26">
        <f t="shared" si="2"/>
        <v>0</v>
      </c>
      <c r="M33" s="25">
        <f t="shared" si="3"/>
        <v>0</v>
      </c>
    </row>
    <row r="34" spans="1:14" s="8" customFormat="1" ht="27.6" customHeight="1" x14ac:dyDescent="0.35">
      <c r="A34" s="24" t="s">
        <v>4</v>
      </c>
      <c r="B34" s="22">
        <f>SUM(B3:B33)</f>
        <v>31130</v>
      </c>
      <c r="C34" s="22">
        <f>SUM(C3:C33)</f>
        <v>69540</v>
      </c>
      <c r="D34" s="22"/>
      <c r="E34" s="22">
        <f t="shared" ref="E34:M34" si="5">SUM(E3:E33)</f>
        <v>69540</v>
      </c>
      <c r="F34" s="15">
        <f t="shared" si="5"/>
        <v>-31130</v>
      </c>
      <c r="G34" s="23">
        <f t="shared" si="5"/>
        <v>0</v>
      </c>
      <c r="H34" s="24" t="s">
        <v>17</v>
      </c>
      <c r="I34" s="24">
        <f t="shared" si="5"/>
        <v>25500</v>
      </c>
      <c r="J34" s="24">
        <f t="shared" si="5"/>
        <v>86900</v>
      </c>
      <c r="K34" s="32">
        <f t="shared" si="5"/>
        <v>100670</v>
      </c>
      <c r="L34" s="27">
        <f t="shared" si="5"/>
        <v>5630</v>
      </c>
      <c r="M34" s="27">
        <f t="shared" si="5"/>
        <v>-17360</v>
      </c>
      <c r="N34" s="13"/>
    </row>
    <row r="35" spans="1:14" x14ac:dyDescent="0.3">
      <c r="K35" s="37"/>
    </row>
    <row r="37" spans="1:14" ht="18" x14ac:dyDescent="0.3">
      <c r="G37" s="51" t="s">
        <v>14</v>
      </c>
      <c r="H37" s="51"/>
      <c r="I37" s="12">
        <f>SUM(K3:K33)</f>
        <v>100670</v>
      </c>
    </row>
    <row r="38" spans="1:14" ht="18" x14ac:dyDescent="0.3">
      <c r="G38" s="51" t="s">
        <v>16</v>
      </c>
      <c r="H38" s="51"/>
      <c r="I38" s="12">
        <f>SUM(+I34+J34)</f>
        <v>112400</v>
      </c>
    </row>
    <row r="39" spans="1:14" ht="18" x14ac:dyDescent="0.3">
      <c r="G39" s="51" t="s">
        <v>15</v>
      </c>
      <c r="H39" s="51"/>
      <c r="I39" s="12">
        <f>SUM(L34+M34)</f>
        <v>-11730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9"/>
  <sheetViews>
    <sheetView topLeftCell="C18" workbookViewId="0">
      <selection activeCell="L51" sqref="L51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6">
        <v>45931</v>
      </c>
      <c r="B3" s="14">
        <v>650</v>
      </c>
      <c r="C3" s="14">
        <v>2280</v>
      </c>
      <c r="D3" s="14">
        <v>0</v>
      </c>
      <c r="E3" s="14">
        <v>2280</v>
      </c>
      <c r="F3" s="15">
        <f>SUM(D3-B3)</f>
        <v>-650</v>
      </c>
      <c r="G3" s="15">
        <f>SUM(E3-C3)</f>
        <v>0</v>
      </c>
      <c r="H3" s="16">
        <v>380</v>
      </c>
      <c r="I3" s="17">
        <v>1400</v>
      </c>
      <c r="J3" s="17">
        <v>4150</v>
      </c>
      <c r="K3" s="31">
        <f>SUM(B3:C3)</f>
        <v>2930</v>
      </c>
      <c r="L3" s="25">
        <f>SUM(B3-I3)</f>
        <v>-750</v>
      </c>
      <c r="M3" s="25">
        <f>SUM(E3-J3)</f>
        <v>-1870</v>
      </c>
    </row>
    <row r="4" spans="1:14" x14ac:dyDescent="0.3">
      <c r="A4" s="36">
        <v>45932</v>
      </c>
      <c r="B4" s="18">
        <v>270</v>
      </c>
      <c r="C4" s="18">
        <v>4070</v>
      </c>
      <c r="D4" s="18">
        <v>0</v>
      </c>
      <c r="E4" s="18">
        <v>4070</v>
      </c>
      <c r="F4" s="15">
        <f>SUM(D4-B4)</f>
        <v>-270</v>
      </c>
      <c r="G4" s="15">
        <f>SUM(E4-C4)</f>
        <v>0</v>
      </c>
      <c r="H4" s="20">
        <v>678.34</v>
      </c>
      <c r="I4" s="21">
        <v>205</v>
      </c>
      <c r="J4" s="21">
        <v>0</v>
      </c>
      <c r="K4" s="31">
        <f t="shared" ref="K4:K33" si="0">SUM(B4:C4)</f>
        <v>4340</v>
      </c>
      <c r="L4" s="26">
        <f t="shared" ref="L4:L33" si="1">SUM(B4-I4)</f>
        <v>65</v>
      </c>
      <c r="M4" s="25">
        <f t="shared" ref="M4:M33" si="2">SUM(E4-J4)</f>
        <v>4070</v>
      </c>
    </row>
    <row r="5" spans="1:14" x14ac:dyDescent="0.3">
      <c r="A5" s="36">
        <v>45933</v>
      </c>
      <c r="B5" s="18">
        <v>850</v>
      </c>
      <c r="C5" s="18">
        <v>4640</v>
      </c>
      <c r="D5" s="18">
        <v>0</v>
      </c>
      <c r="E5" s="18">
        <v>4640</v>
      </c>
      <c r="F5" s="15">
        <f t="shared" ref="F5:G33" si="3">SUM(D5-B5)</f>
        <v>-850</v>
      </c>
      <c r="G5" s="15">
        <f t="shared" si="3"/>
        <v>0</v>
      </c>
      <c r="H5" s="20">
        <v>773.33</v>
      </c>
      <c r="I5" s="21">
        <v>565</v>
      </c>
      <c r="J5" s="21">
        <v>0</v>
      </c>
      <c r="K5" s="31">
        <f t="shared" si="0"/>
        <v>5490</v>
      </c>
      <c r="L5" s="26">
        <f t="shared" si="1"/>
        <v>285</v>
      </c>
      <c r="M5" s="25">
        <f t="shared" si="2"/>
        <v>4640</v>
      </c>
    </row>
    <row r="6" spans="1:14" x14ac:dyDescent="0.3">
      <c r="A6" s="36">
        <v>45934</v>
      </c>
      <c r="B6" s="18">
        <v>660</v>
      </c>
      <c r="C6" s="18">
        <v>3625</v>
      </c>
      <c r="D6" s="18">
        <v>0</v>
      </c>
      <c r="E6" s="18">
        <v>3625</v>
      </c>
      <c r="F6" s="15">
        <f t="shared" si="3"/>
        <v>-660</v>
      </c>
      <c r="G6" s="15">
        <f t="shared" si="3"/>
        <v>0</v>
      </c>
      <c r="H6" s="20">
        <v>604.16999999999996</v>
      </c>
      <c r="I6" s="21">
        <v>130</v>
      </c>
      <c r="J6" s="21">
        <v>0</v>
      </c>
      <c r="K6" s="31">
        <f t="shared" si="0"/>
        <v>4285</v>
      </c>
      <c r="L6" s="26">
        <f t="shared" si="1"/>
        <v>530</v>
      </c>
      <c r="M6" s="25">
        <f t="shared" si="2"/>
        <v>3625</v>
      </c>
    </row>
    <row r="7" spans="1:14" x14ac:dyDescent="0.3">
      <c r="A7" s="36">
        <v>45935</v>
      </c>
      <c r="B7" s="18">
        <v>1020</v>
      </c>
      <c r="C7" s="18">
        <v>2870</v>
      </c>
      <c r="D7" s="18">
        <v>0</v>
      </c>
      <c r="E7" s="18">
        <v>2870</v>
      </c>
      <c r="F7" s="15">
        <f t="shared" si="3"/>
        <v>-1020</v>
      </c>
      <c r="G7" s="15">
        <f t="shared" si="3"/>
        <v>0</v>
      </c>
      <c r="H7" s="20">
        <v>478.33</v>
      </c>
      <c r="I7" s="21">
        <v>250</v>
      </c>
      <c r="J7" s="21">
        <v>0</v>
      </c>
      <c r="K7" s="31">
        <f t="shared" si="0"/>
        <v>3890</v>
      </c>
      <c r="L7" s="26">
        <f t="shared" si="1"/>
        <v>770</v>
      </c>
      <c r="M7" s="25">
        <f t="shared" si="2"/>
        <v>2870</v>
      </c>
    </row>
    <row r="8" spans="1:14" x14ac:dyDescent="0.3">
      <c r="A8" s="36">
        <v>45936</v>
      </c>
      <c r="B8" s="18">
        <v>1100</v>
      </c>
      <c r="C8" s="18">
        <v>2400</v>
      </c>
      <c r="D8" s="18">
        <v>0</v>
      </c>
      <c r="E8" s="18">
        <v>2400</v>
      </c>
      <c r="F8" s="15">
        <f t="shared" si="3"/>
        <v>-1100</v>
      </c>
      <c r="G8" s="15">
        <f t="shared" si="3"/>
        <v>0</v>
      </c>
      <c r="H8" s="20">
        <v>400.01</v>
      </c>
      <c r="I8" s="21">
        <v>500</v>
      </c>
      <c r="J8" s="21">
        <v>0</v>
      </c>
      <c r="K8" s="31">
        <f t="shared" si="0"/>
        <v>3500</v>
      </c>
      <c r="L8" s="26">
        <f t="shared" si="1"/>
        <v>600</v>
      </c>
      <c r="M8" s="25">
        <f t="shared" si="2"/>
        <v>2400</v>
      </c>
    </row>
    <row r="9" spans="1:14" x14ac:dyDescent="0.3">
      <c r="A9" s="36">
        <v>45937</v>
      </c>
      <c r="B9" s="18">
        <v>1750</v>
      </c>
      <c r="C9" s="18">
        <v>3370</v>
      </c>
      <c r="D9" s="18">
        <v>0</v>
      </c>
      <c r="E9" s="18">
        <v>3370</v>
      </c>
      <c r="F9" s="15">
        <f t="shared" si="3"/>
        <v>-1750</v>
      </c>
      <c r="G9" s="15">
        <f t="shared" si="3"/>
        <v>0</v>
      </c>
      <c r="H9" s="20">
        <v>561.66999999999996</v>
      </c>
      <c r="I9" s="21">
        <v>400</v>
      </c>
      <c r="J9" s="21">
        <v>1975</v>
      </c>
      <c r="K9" s="31">
        <f t="shared" si="0"/>
        <v>5120</v>
      </c>
      <c r="L9" s="26">
        <f t="shared" si="1"/>
        <v>1350</v>
      </c>
      <c r="M9" s="25">
        <f t="shared" si="2"/>
        <v>1395</v>
      </c>
    </row>
    <row r="10" spans="1:14" x14ac:dyDescent="0.3">
      <c r="A10" s="36">
        <v>45938</v>
      </c>
      <c r="B10" s="18">
        <v>250</v>
      </c>
      <c r="C10" s="18">
        <v>4020</v>
      </c>
      <c r="D10" s="18">
        <v>0</v>
      </c>
      <c r="E10" s="18">
        <v>4020</v>
      </c>
      <c r="F10" s="15">
        <f t="shared" si="3"/>
        <v>-250</v>
      </c>
      <c r="G10" s="15">
        <f t="shared" si="3"/>
        <v>0</v>
      </c>
      <c r="H10" s="20">
        <v>533.34</v>
      </c>
      <c r="I10" s="21">
        <v>1025</v>
      </c>
      <c r="J10" s="21">
        <v>400</v>
      </c>
      <c r="K10" s="31">
        <f t="shared" si="0"/>
        <v>4270</v>
      </c>
      <c r="L10" s="26">
        <f t="shared" si="1"/>
        <v>-775</v>
      </c>
      <c r="M10" s="25">
        <f t="shared" si="2"/>
        <v>3620</v>
      </c>
    </row>
    <row r="11" spans="1:14" x14ac:dyDescent="0.3">
      <c r="A11" s="36">
        <v>45939</v>
      </c>
      <c r="B11" s="18">
        <v>900</v>
      </c>
      <c r="C11" s="18">
        <v>3925</v>
      </c>
      <c r="D11" s="18">
        <v>0</v>
      </c>
      <c r="E11" s="18">
        <v>3925</v>
      </c>
      <c r="F11" s="15">
        <f t="shared" si="3"/>
        <v>-900</v>
      </c>
      <c r="G11" s="15">
        <f t="shared" si="3"/>
        <v>0</v>
      </c>
      <c r="H11" s="20">
        <v>468.34</v>
      </c>
      <c r="I11" s="21">
        <v>420</v>
      </c>
      <c r="J11" s="21">
        <v>725</v>
      </c>
      <c r="K11" s="31">
        <f t="shared" si="0"/>
        <v>4825</v>
      </c>
      <c r="L11" s="26">
        <f t="shared" si="1"/>
        <v>480</v>
      </c>
      <c r="M11" s="25">
        <f t="shared" si="2"/>
        <v>3200</v>
      </c>
    </row>
    <row r="12" spans="1:14" x14ac:dyDescent="0.3">
      <c r="A12" s="36">
        <v>45940</v>
      </c>
      <c r="B12" s="18">
        <v>200</v>
      </c>
      <c r="C12" s="18">
        <v>3040</v>
      </c>
      <c r="D12" s="18">
        <v>0</v>
      </c>
      <c r="E12" s="18">
        <v>3040</v>
      </c>
      <c r="F12" s="15">
        <f t="shared" si="3"/>
        <v>-200</v>
      </c>
      <c r="G12" s="15">
        <f t="shared" si="3"/>
        <v>0</v>
      </c>
      <c r="H12" s="20">
        <v>548.35</v>
      </c>
      <c r="I12" s="21">
        <v>145</v>
      </c>
      <c r="J12" s="21">
        <v>25035</v>
      </c>
      <c r="K12" s="31">
        <f t="shared" si="0"/>
        <v>3240</v>
      </c>
      <c r="L12" s="26">
        <f t="shared" si="1"/>
        <v>55</v>
      </c>
      <c r="M12" s="25">
        <f t="shared" si="2"/>
        <v>-21995</v>
      </c>
      <c r="N12" t="s">
        <v>17</v>
      </c>
    </row>
    <row r="13" spans="1:14" x14ac:dyDescent="0.3">
      <c r="A13" s="36">
        <v>45941</v>
      </c>
      <c r="B13" s="18">
        <v>980</v>
      </c>
      <c r="C13" s="18">
        <v>2850</v>
      </c>
      <c r="D13" s="18">
        <v>0</v>
      </c>
      <c r="E13" s="18">
        <v>2850</v>
      </c>
      <c r="F13" s="15">
        <f t="shared" si="3"/>
        <v>-980</v>
      </c>
      <c r="G13" s="15">
        <f t="shared" si="3"/>
        <v>0</v>
      </c>
      <c r="H13" s="20">
        <v>233.34</v>
      </c>
      <c r="I13" s="21">
        <v>120</v>
      </c>
      <c r="J13" s="21">
        <v>160</v>
      </c>
      <c r="K13" s="31">
        <f t="shared" si="0"/>
        <v>3830</v>
      </c>
      <c r="L13" s="26">
        <f t="shared" si="1"/>
        <v>860</v>
      </c>
      <c r="M13" s="25">
        <f t="shared" si="2"/>
        <v>2690</v>
      </c>
    </row>
    <row r="14" spans="1:14" x14ac:dyDescent="0.3">
      <c r="A14" s="36">
        <v>45942</v>
      </c>
      <c r="B14" s="18">
        <v>180</v>
      </c>
      <c r="C14" s="18">
        <v>5200</v>
      </c>
      <c r="D14" s="18">
        <v>0</v>
      </c>
      <c r="E14" s="18">
        <v>5200</v>
      </c>
      <c r="F14" s="15">
        <f t="shared" si="3"/>
        <v>-180</v>
      </c>
      <c r="G14" s="15">
        <f t="shared" si="3"/>
        <v>0</v>
      </c>
      <c r="H14" s="20">
        <v>866.67</v>
      </c>
      <c r="I14" s="21">
        <v>460</v>
      </c>
      <c r="J14" s="21">
        <v>430</v>
      </c>
      <c r="K14" s="31">
        <f t="shared" si="0"/>
        <v>5380</v>
      </c>
      <c r="L14" s="26">
        <f t="shared" si="1"/>
        <v>-280</v>
      </c>
      <c r="M14" s="25">
        <f t="shared" si="2"/>
        <v>4770</v>
      </c>
    </row>
    <row r="15" spans="1:14" x14ac:dyDescent="0.3">
      <c r="A15" s="36">
        <v>45943</v>
      </c>
      <c r="B15" s="18">
        <v>700</v>
      </c>
      <c r="C15" s="18">
        <v>2730</v>
      </c>
      <c r="D15" s="18">
        <v>0</v>
      </c>
      <c r="E15" s="18">
        <v>2730</v>
      </c>
      <c r="F15" s="15">
        <f t="shared" si="3"/>
        <v>-700</v>
      </c>
      <c r="G15" s="15">
        <f t="shared" si="3"/>
        <v>0</v>
      </c>
      <c r="H15" s="20">
        <v>455</v>
      </c>
      <c r="I15" s="21">
        <v>3650</v>
      </c>
      <c r="J15" s="21">
        <v>11290</v>
      </c>
      <c r="K15" s="31">
        <f t="shared" si="0"/>
        <v>3430</v>
      </c>
      <c r="L15" s="26">
        <f t="shared" si="1"/>
        <v>-2950</v>
      </c>
      <c r="M15" s="25">
        <f t="shared" si="2"/>
        <v>-8560</v>
      </c>
    </row>
    <row r="16" spans="1:14" x14ac:dyDescent="0.3">
      <c r="A16" s="36">
        <v>45944</v>
      </c>
      <c r="B16" s="18">
        <v>330</v>
      </c>
      <c r="C16" s="18">
        <v>1660</v>
      </c>
      <c r="D16" s="18">
        <v>0</v>
      </c>
      <c r="E16" s="18">
        <v>1660</v>
      </c>
      <c r="F16" s="15">
        <f t="shared" si="3"/>
        <v>-330</v>
      </c>
      <c r="G16" s="15">
        <f t="shared" si="3"/>
        <v>0</v>
      </c>
      <c r="H16" s="20">
        <v>276.66000000000003</v>
      </c>
      <c r="I16" s="21">
        <v>1615</v>
      </c>
      <c r="J16" s="21">
        <v>3025</v>
      </c>
      <c r="K16" s="31">
        <f t="shared" si="0"/>
        <v>1990</v>
      </c>
      <c r="L16" s="26">
        <f t="shared" si="1"/>
        <v>-1285</v>
      </c>
      <c r="M16" s="25">
        <f t="shared" si="2"/>
        <v>-1365</v>
      </c>
    </row>
    <row r="17" spans="1:14" x14ac:dyDescent="0.3">
      <c r="A17" s="36">
        <v>45945</v>
      </c>
      <c r="B17" s="18">
        <v>600</v>
      </c>
      <c r="C17" s="18">
        <v>685</v>
      </c>
      <c r="D17" s="18">
        <v>0</v>
      </c>
      <c r="E17" s="18">
        <v>685</v>
      </c>
      <c r="F17" s="15">
        <f t="shared" si="3"/>
        <v>-600</v>
      </c>
      <c r="G17" s="15">
        <f t="shared" si="3"/>
        <v>0</v>
      </c>
      <c r="H17" s="20">
        <v>114.17</v>
      </c>
      <c r="I17" s="21">
        <v>380</v>
      </c>
      <c r="J17" s="21">
        <v>900</v>
      </c>
      <c r="K17" s="31">
        <f t="shared" si="0"/>
        <v>1285</v>
      </c>
      <c r="L17" s="26">
        <f t="shared" si="1"/>
        <v>220</v>
      </c>
      <c r="M17" s="25">
        <f t="shared" si="2"/>
        <v>-215</v>
      </c>
    </row>
    <row r="18" spans="1:14" x14ac:dyDescent="0.3">
      <c r="A18" s="36">
        <v>45946</v>
      </c>
      <c r="B18" s="18">
        <v>800</v>
      </c>
      <c r="C18" s="18">
        <v>2020</v>
      </c>
      <c r="D18" s="18">
        <v>0</v>
      </c>
      <c r="E18" s="18">
        <v>2020</v>
      </c>
      <c r="F18" s="15">
        <f t="shared" si="3"/>
        <v>-800</v>
      </c>
      <c r="G18" s="15">
        <f t="shared" si="3"/>
        <v>0</v>
      </c>
      <c r="H18" s="20">
        <v>336.67</v>
      </c>
      <c r="I18" s="21">
        <v>200</v>
      </c>
      <c r="J18" s="21">
        <v>420</v>
      </c>
      <c r="K18" s="31">
        <f t="shared" si="0"/>
        <v>2820</v>
      </c>
      <c r="L18" s="26">
        <f t="shared" si="1"/>
        <v>600</v>
      </c>
      <c r="M18" s="25">
        <f t="shared" si="2"/>
        <v>1600</v>
      </c>
    </row>
    <row r="19" spans="1:14" x14ac:dyDescent="0.3">
      <c r="A19" s="36">
        <v>45947</v>
      </c>
      <c r="B19" s="18">
        <v>270</v>
      </c>
      <c r="C19" s="18">
        <v>370</v>
      </c>
      <c r="D19" s="18">
        <v>0</v>
      </c>
      <c r="E19" s="18">
        <v>370</v>
      </c>
      <c r="F19" s="15">
        <f t="shared" si="3"/>
        <v>-270</v>
      </c>
      <c r="G19" s="15">
        <f t="shared" si="3"/>
        <v>0</v>
      </c>
      <c r="H19" s="20">
        <v>45</v>
      </c>
      <c r="I19" s="21">
        <v>220</v>
      </c>
      <c r="J19" s="21">
        <v>165</v>
      </c>
      <c r="K19" s="31">
        <f t="shared" si="0"/>
        <v>640</v>
      </c>
      <c r="L19" s="26">
        <f t="shared" si="1"/>
        <v>50</v>
      </c>
      <c r="M19" s="25">
        <f t="shared" si="2"/>
        <v>205</v>
      </c>
    </row>
    <row r="20" spans="1:14" x14ac:dyDescent="0.3">
      <c r="A20" s="36">
        <v>45948</v>
      </c>
      <c r="B20" s="18">
        <v>1150</v>
      </c>
      <c r="C20" s="18">
        <v>540</v>
      </c>
      <c r="D20" s="18">
        <v>0</v>
      </c>
      <c r="E20" s="18">
        <v>540</v>
      </c>
      <c r="F20" s="15">
        <f t="shared" si="3"/>
        <v>-1150</v>
      </c>
      <c r="G20" s="15">
        <f t="shared" si="3"/>
        <v>0</v>
      </c>
      <c r="H20" s="20">
        <v>90.17</v>
      </c>
      <c r="I20" s="21">
        <v>110</v>
      </c>
      <c r="J20" s="21">
        <v>820</v>
      </c>
      <c r="K20" s="31">
        <f t="shared" si="0"/>
        <v>1690</v>
      </c>
      <c r="L20" s="26">
        <f t="shared" si="1"/>
        <v>1040</v>
      </c>
      <c r="M20" s="25">
        <f t="shared" si="2"/>
        <v>-280</v>
      </c>
    </row>
    <row r="21" spans="1:14" x14ac:dyDescent="0.3">
      <c r="A21" s="36">
        <v>45949</v>
      </c>
      <c r="B21" s="18">
        <v>470</v>
      </c>
      <c r="C21" s="18">
        <v>1520</v>
      </c>
      <c r="D21" s="18">
        <v>0</v>
      </c>
      <c r="E21" s="18">
        <v>1520</v>
      </c>
      <c r="F21" s="15">
        <f t="shared" si="3"/>
        <v>-470</v>
      </c>
      <c r="G21" s="15">
        <f t="shared" si="3"/>
        <v>0</v>
      </c>
      <c r="H21" s="20"/>
      <c r="I21" s="21">
        <v>220</v>
      </c>
      <c r="J21" s="21">
        <v>0</v>
      </c>
      <c r="K21" s="31">
        <f t="shared" si="0"/>
        <v>1990</v>
      </c>
      <c r="L21" s="26">
        <f t="shared" si="1"/>
        <v>250</v>
      </c>
      <c r="M21" s="25">
        <f t="shared" si="2"/>
        <v>1520</v>
      </c>
    </row>
    <row r="22" spans="1:14" x14ac:dyDescent="0.3">
      <c r="A22" s="36">
        <v>45950</v>
      </c>
      <c r="B22" s="18">
        <v>720</v>
      </c>
      <c r="C22" s="18">
        <v>160</v>
      </c>
      <c r="D22" s="18">
        <v>0</v>
      </c>
      <c r="E22" s="18">
        <v>160</v>
      </c>
      <c r="F22" s="15">
        <f t="shared" si="3"/>
        <v>-720</v>
      </c>
      <c r="G22" s="15">
        <f t="shared" si="3"/>
        <v>0</v>
      </c>
      <c r="H22" s="20">
        <v>0</v>
      </c>
      <c r="I22" s="21">
        <v>1125</v>
      </c>
      <c r="J22" s="21">
        <v>0</v>
      </c>
      <c r="K22" s="31">
        <f t="shared" si="0"/>
        <v>880</v>
      </c>
      <c r="L22" s="26">
        <f t="shared" si="1"/>
        <v>-405</v>
      </c>
      <c r="M22" s="25">
        <f t="shared" si="2"/>
        <v>160</v>
      </c>
    </row>
    <row r="23" spans="1:14" x14ac:dyDescent="0.3">
      <c r="A23" s="36">
        <v>45951</v>
      </c>
      <c r="B23" s="18">
        <v>1800</v>
      </c>
      <c r="C23" s="18">
        <v>1375</v>
      </c>
      <c r="D23" s="18">
        <v>0</v>
      </c>
      <c r="E23" s="18">
        <v>1375</v>
      </c>
      <c r="F23" s="15">
        <f t="shared" si="3"/>
        <v>-1800</v>
      </c>
      <c r="G23" s="15">
        <f t="shared" si="3"/>
        <v>0</v>
      </c>
      <c r="H23" s="20">
        <v>229.16</v>
      </c>
      <c r="I23" s="21">
        <v>395</v>
      </c>
      <c r="J23" s="21">
        <v>4055</v>
      </c>
      <c r="K23" s="31">
        <f t="shared" si="0"/>
        <v>3175</v>
      </c>
      <c r="L23" s="26">
        <f t="shared" si="1"/>
        <v>1405</v>
      </c>
      <c r="M23" s="25">
        <f t="shared" si="2"/>
        <v>-2680</v>
      </c>
    </row>
    <row r="24" spans="1:14" x14ac:dyDescent="0.3">
      <c r="A24" s="36">
        <v>45952</v>
      </c>
      <c r="B24" s="18">
        <v>1720</v>
      </c>
      <c r="C24" s="18">
        <v>2045</v>
      </c>
      <c r="D24" s="18">
        <v>0</v>
      </c>
      <c r="E24" s="18">
        <v>2045</v>
      </c>
      <c r="F24" s="15">
        <f t="shared" si="3"/>
        <v>-1720</v>
      </c>
      <c r="G24" s="15">
        <f t="shared" si="3"/>
        <v>0</v>
      </c>
      <c r="H24" s="20">
        <v>340.83</v>
      </c>
      <c r="I24" s="21">
        <v>850</v>
      </c>
      <c r="J24" s="21">
        <v>0</v>
      </c>
      <c r="K24" s="31">
        <f t="shared" si="0"/>
        <v>3765</v>
      </c>
      <c r="L24" s="26">
        <f t="shared" si="1"/>
        <v>870</v>
      </c>
      <c r="M24" s="25">
        <f t="shared" si="2"/>
        <v>2045</v>
      </c>
    </row>
    <row r="25" spans="1:14" x14ac:dyDescent="0.3">
      <c r="A25" s="36">
        <v>45953</v>
      </c>
      <c r="B25" s="18">
        <v>300</v>
      </c>
      <c r="C25" s="18">
        <v>850</v>
      </c>
      <c r="D25" s="18">
        <v>0</v>
      </c>
      <c r="E25" s="18">
        <v>850</v>
      </c>
      <c r="F25" s="15">
        <f t="shared" si="3"/>
        <v>-300</v>
      </c>
      <c r="G25" s="15">
        <f t="shared" si="3"/>
        <v>0</v>
      </c>
      <c r="H25" s="20">
        <v>141.66</v>
      </c>
      <c r="I25" s="21">
        <v>440</v>
      </c>
      <c r="J25" s="21">
        <v>0</v>
      </c>
      <c r="K25" s="31">
        <f t="shared" si="0"/>
        <v>1150</v>
      </c>
      <c r="L25" s="26">
        <f t="shared" si="1"/>
        <v>-140</v>
      </c>
      <c r="M25" s="25">
        <f t="shared" si="2"/>
        <v>850</v>
      </c>
      <c r="N25" t="s">
        <v>18</v>
      </c>
    </row>
    <row r="26" spans="1:14" x14ac:dyDescent="0.3">
      <c r="A26" s="36">
        <v>45954</v>
      </c>
      <c r="B26" s="18">
        <v>1000</v>
      </c>
      <c r="C26" s="18">
        <v>4070</v>
      </c>
      <c r="D26" s="18">
        <v>0</v>
      </c>
      <c r="E26" s="18">
        <v>4070</v>
      </c>
      <c r="F26" s="15">
        <f t="shared" si="3"/>
        <v>-1000</v>
      </c>
      <c r="G26" s="15">
        <f t="shared" si="3"/>
        <v>0</v>
      </c>
      <c r="H26" s="20">
        <v>678.33</v>
      </c>
      <c r="I26" s="21">
        <v>4000</v>
      </c>
      <c r="J26" s="21">
        <v>3800</v>
      </c>
      <c r="K26" s="31">
        <f t="shared" si="0"/>
        <v>5070</v>
      </c>
      <c r="L26" s="26">
        <f t="shared" si="1"/>
        <v>-3000</v>
      </c>
      <c r="M26" s="25">
        <f t="shared" si="2"/>
        <v>270</v>
      </c>
    </row>
    <row r="27" spans="1:14" x14ac:dyDescent="0.3">
      <c r="A27" s="36">
        <v>45955</v>
      </c>
      <c r="B27" s="18">
        <v>200</v>
      </c>
      <c r="C27" s="18">
        <v>6165</v>
      </c>
      <c r="D27" s="18">
        <v>0</v>
      </c>
      <c r="E27" s="18">
        <v>6165</v>
      </c>
      <c r="F27" s="15">
        <f t="shared" si="3"/>
        <v>-200</v>
      </c>
      <c r="G27" s="15">
        <f t="shared" si="3"/>
        <v>0</v>
      </c>
      <c r="H27" s="20">
        <v>1027.51</v>
      </c>
      <c r="I27" s="21">
        <v>130</v>
      </c>
      <c r="J27" s="21">
        <v>720</v>
      </c>
      <c r="K27" s="31">
        <f t="shared" si="0"/>
        <v>6365</v>
      </c>
      <c r="L27" s="26">
        <f t="shared" si="1"/>
        <v>70</v>
      </c>
      <c r="M27" s="25">
        <f t="shared" si="2"/>
        <v>5445</v>
      </c>
    </row>
    <row r="28" spans="1:14" x14ac:dyDescent="0.3">
      <c r="A28" s="36">
        <v>45956</v>
      </c>
      <c r="B28" s="18">
        <v>1050</v>
      </c>
      <c r="C28" s="18">
        <v>5610</v>
      </c>
      <c r="D28" s="18">
        <v>0</v>
      </c>
      <c r="E28" s="18">
        <v>5610</v>
      </c>
      <c r="F28" s="15">
        <f t="shared" si="3"/>
        <v>-1050</v>
      </c>
      <c r="G28" s="15">
        <f t="shared" si="3"/>
        <v>0</v>
      </c>
      <c r="H28" s="20">
        <v>935.01</v>
      </c>
      <c r="I28" s="21">
        <v>500</v>
      </c>
      <c r="J28" s="21">
        <v>300</v>
      </c>
      <c r="K28" s="31">
        <f t="shared" si="0"/>
        <v>6660</v>
      </c>
      <c r="L28" s="26">
        <f t="shared" si="1"/>
        <v>550</v>
      </c>
      <c r="M28" s="25">
        <f t="shared" si="2"/>
        <v>5310</v>
      </c>
    </row>
    <row r="29" spans="1:14" x14ac:dyDescent="0.3">
      <c r="A29" s="36">
        <v>45957</v>
      </c>
      <c r="B29" s="18">
        <v>800</v>
      </c>
      <c r="C29" s="18">
        <v>3570</v>
      </c>
      <c r="D29" s="18">
        <v>0</v>
      </c>
      <c r="E29" s="18">
        <v>3570</v>
      </c>
      <c r="F29" s="15">
        <f t="shared" si="3"/>
        <v>-800</v>
      </c>
      <c r="G29" s="15">
        <f t="shared" si="3"/>
        <v>0</v>
      </c>
      <c r="H29" s="20">
        <v>595</v>
      </c>
      <c r="I29" s="21">
        <v>130</v>
      </c>
      <c r="J29" s="21">
        <v>11780</v>
      </c>
      <c r="K29" s="31">
        <f t="shared" si="0"/>
        <v>4370</v>
      </c>
      <c r="L29" s="26">
        <f t="shared" si="1"/>
        <v>670</v>
      </c>
      <c r="M29" s="25">
        <f t="shared" si="2"/>
        <v>-8210</v>
      </c>
    </row>
    <row r="30" spans="1:14" x14ac:dyDescent="0.3">
      <c r="A30" s="36">
        <v>45958</v>
      </c>
      <c r="B30" s="18">
        <v>610</v>
      </c>
      <c r="C30" s="18">
        <v>1880</v>
      </c>
      <c r="D30" s="18">
        <v>0</v>
      </c>
      <c r="E30" s="18">
        <v>1880</v>
      </c>
      <c r="F30" s="15">
        <f t="shared" si="3"/>
        <v>-610</v>
      </c>
      <c r="G30" s="15">
        <f t="shared" si="3"/>
        <v>0</v>
      </c>
      <c r="H30" s="20">
        <v>313.33</v>
      </c>
      <c r="I30" s="21">
        <v>1820</v>
      </c>
      <c r="J30" s="21">
        <v>70</v>
      </c>
      <c r="K30" s="31">
        <f t="shared" si="0"/>
        <v>2490</v>
      </c>
      <c r="L30" s="26">
        <f t="shared" si="1"/>
        <v>-1210</v>
      </c>
      <c r="M30" s="25">
        <f t="shared" si="2"/>
        <v>1810</v>
      </c>
    </row>
    <row r="31" spans="1:14" x14ac:dyDescent="0.3">
      <c r="A31" s="36">
        <v>45959</v>
      </c>
      <c r="B31" s="18">
        <v>700</v>
      </c>
      <c r="C31" s="18">
        <v>6715</v>
      </c>
      <c r="D31" s="18">
        <v>0</v>
      </c>
      <c r="E31" s="18">
        <v>6715</v>
      </c>
      <c r="F31" s="15">
        <f t="shared" si="3"/>
        <v>-700</v>
      </c>
      <c r="G31" s="15">
        <f t="shared" si="3"/>
        <v>0</v>
      </c>
      <c r="H31" s="20">
        <v>1136.67</v>
      </c>
      <c r="I31" s="21">
        <v>345</v>
      </c>
      <c r="J31" s="21">
        <v>925</v>
      </c>
      <c r="K31" s="31">
        <f t="shared" si="0"/>
        <v>7415</v>
      </c>
      <c r="L31" s="26">
        <f t="shared" si="1"/>
        <v>355</v>
      </c>
      <c r="M31" s="25">
        <f t="shared" si="2"/>
        <v>5790</v>
      </c>
    </row>
    <row r="32" spans="1:14" x14ac:dyDescent="0.3">
      <c r="A32" s="36">
        <v>45960</v>
      </c>
      <c r="B32" s="18">
        <v>120</v>
      </c>
      <c r="C32" s="18">
        <v>1480</v>
      </c>
      <c r="D32" s="18">
        <v>0</v>
      </c>
      <c r="E32" s="18">
        <v>1480</v>
      </c>
      <c r="F32" s="15">
        <f t="shared" si="3"/>
        <v>-120</v>
      </c>
      <c r="G32" s="15">
        <f t="shared" si="3"/>
        <v>0</v>
      </c>
      <c r="H32" s="20">
        <v>246.67</v>
      </c>
      <c r="I32" s="21">
        <v>225</v>
      </c>
      <c r="J32" s="21">
        <v>3441</v>
      </c>
      <c r="K32" s="31">
        <f t="shared" si="0"/>
        <v>1600</v>
      </c>
      <c r="L32" s="26">
        <f t="shared" si="1"/>
        <v>-105</v>
      </c>
      <c r="M32" s="25">
        <f t="shared" si="2"/>
        <v>-1961</v>
      </c>
    </row>
    <row r="33" spans="1:14" x14ac:dyDescent="0.3">
      <c r="A33" s="36">
        <v>45961</v>
      </c>
      <c r="B33" s="18">
        <v>520</v>
      </c>
      <c r="C33" s="18">
        <v>6685</v>
      </c>
      <c r="D33" s="18">
        <v>0</v>
      </c>
      <c r="E33" s="18">
        <v>6685</v>
      </c>
      <c r="F33" s="15">
        <f t="shared" si="3"/>
        <v>-520</v>
      </c>
      <c r="G33" s="15">
        <f t="shared" si="3"/>
        <v>0</v>
      </c>
      <c r="H33" s="20">
        <v>1125.8399999999999</v>
      </c>
      <c r="I33" s="21">
        <v>440</v>
      </c>
      <c r="J33" s="33">
        <v>225</v>
      </c>
      <c r="K33" s="31">
        <f t="shared" si="0"/>
        <v>7205</v>
      </c>
      <c r="L33" s="26">
        <f t="shared" si="1"/>
        <v>80</v>
      </c>
      <c r="M33" s="25">
        <f t="shared" si="2"/>
        <v>6460</v>
      </c>
    </row>
    <row r="34" spans="1:14" s="8" customFormat="1" ht="27.6" customHeight="1" x14ac:dyDescent="0.35">
      <c r="A34" s="24" t="s">
        <v>4</v>
      </c>
      <c r="B34" s="22">
        <f>SUM(B3:B33)</f>
        <v>22670</v>
      </c>
      <c r="C34" s="22">
        <f>SUM(C3:C33)</f>
        <v>92420</v>
      </c>
      <c r="D34" s="22"/>
      <c r="E34" s="22">
        <f t="shared" ref="E34:M34" si="4">SUM(E3:E33)</f>
        <v>92420</v>
      </c>
      <c r="F34" s="15">
        <f t="shared" si="4"/>
        <v>-22670</v>
      </c>
      <c r="G34" s="23">
        <f t="shared" si="4"/>
        <v>0</v>
      </c>
      <c r="H34" s="24">
        <f>SUM(H3:H33)</f>
        <v>14613.570000000002</v>
      </c>
      <c r="I34" s="24">
        <f t="shared" si="4"/>
        <v>22415</v>
      </c>
      <c r="J34" s="24">
        <f t="shared" si="4"/>
        <v>74811</v>
      </c>
      <c r="K34" s="32">
        <f t="shared" si="4"/>
        <v>115090</v>
      </c>
      <c r="L34" s="27">
        <f t="shared" si="4"/>
        <v>255</v>
      </c>
      <c r="M34" s="27">
        <f t="shared" si="4"/>
        <v>17609</v>
      </c>
      <c r="N34" s="13"/>
    </row>
    <row r="35" spans="1:14" x14ac:dyDescent="0.3">
      <c r="K35" s="37">
        <f>AVERAGE(K3:K33)</f>
        <v>3712.5806451612902</v>
      </c>
    </row>
    <row r="37" spans="1:14" ht="18" x14ac:dyDescent="0.3">
      <c r="G37" s="51" t="s">
        <v>14</v>
      </c>
      <c r="H37" s="51"/>
      <c r="I37" s="12">
        <f>SUM(K3:K33)</f>
        <v>115090</v>
      </c>
    </row>
    <row r="38" spans="1:14" ht="18" x14ac:dyDescent="0.3">
      <c r="G38" s="51" t="s">
        <v>16</v>
      </c>
      <c r="H38" s="51"/>
      <c r="I38" s="12">
        <f>SUM(+I34+J34)</f>
        <v>97226</v>
      </c>
    </row>
    <row r="39" spans="1:14" ht="18" x14ac:dyDescent="0.3">
      <c r="G39" s="51" t="s">
        <v>15</v>
      </c>
      <c r="H39" s="51"/>
      <c r="I39" s="12">
        <f>SUM(L34+M34)</f>
        <v>17864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9"/>
  <sheetViews>
    <sheetView topLeftCell="A21" workbookViewId="0">
      <selection activeCell="K35" sqref="K35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6">
        <v>45901</v>
      </c>
      <c r="B3" s="14">
        <v>1320</v>
      </c>
      <c r="C3" s="14">
        <v>1480</v>
      </c>
      <c r="D3" s="14">
        <v>0</v>
      </c>
      <c r="E3" s="14">
        <v>1480</v>
      </c>
      <c r="F3" s="15">
        <f>SUM(D3-B3)</f>
        <v>-1320</v>
      </c>
      <c r="G3" s="15">
        <f>SUM(E3-C3)</f>
        <v>0</v>
      </c>
      <c r="H3" s="16">
        <v>246.67</v>
      </c>
      <c r="I3" s="17">
        <v>260</v>
      </c>
      <c r="J3" s="17">
        <v>5100</v>
      </c>
      <c r="K3" s="31">
        <f>SUM(B3:C3)</f>
        <v>2800</v>
      </c>
      <c r="L3" s="25">
        <f>SUM(B3-I3)</f>
        <v>1060</v>
      </c>
      <c r="M3" s="25">
        <f>SUM(E3-J3)</f>
        <v>-3620</v>
      </c>
    </row>
    <row r="4" spans="1:14" x14ac:dyDescent="0.3">
      <c r="A4" s="36">
        <v>45902</v>
      </c>
      <c r="B4" s="18">
        <v>900</v>
      </c>
      <c r="C4" s="18">
        <v>3320</v>
      </c>
      <c r="D4" s="18">
        <v>0</v>
      </c>
      <c r="E4" s="18">
        <v>3320</v>
      </c>
      <c r="F4" s="15">
        <f>SUM(D4-B4)</f>
        <v>-900</v>
      </c>
      <c r="G4" s="15">
        <f>SUM(E4-C4)</f>
        <v>0</v>
      </c>
      <c r="H4" s="20">
        <v>553.34</v>
      </c>
      <c r="I4" s="21">
        <v>4865</v>
      </c>
      <c r="J4" s="21">
        <v>1505</v>
      </c>
      <c r="K4" s="31">
        <f t="shared" ref="K4:K32" si="0">SUM(B4:C4)</f>
        <v>4220</v>
      </c>
      <c r="L4" s="26">
        <f t="shared" ref="L4:L32" si="1">SUM(B4-I4)</f>
        <v>-3965</v>
      </c>
      <c r="M4" s="25">
        <f t="shared" ref="M4:M32" si="2">SUM(E4-J4)</f>
        <v>1815</v>
      </c>
    </row>
    <row r="5" spans="1:14" x14ac:dyDescent="0.3">
      <c r="A5" s="36">
        <v>45903</v>
      </c>
      <c r="B5" s="18">
        <v>770</v>
      </c>
      <c r="C5" s="18">
        <v>3360</v>
      </c>
      <c r="D5" s="18">
        <v>0</v>
      </c>
      <c r="E5" s="18">
        <v>3360</v>
      </c>
      <c r="F5" s="15">
        <f t="shared" ref="F5:G32" si="3">SUM(D5-B5)</f>
        <v>-770</v>
      </c>
      <c r="G5" s="15">
        <f t="shared" si="3"/>
        <v>0</v>
      </c>
      <c r="H5" s="20">
        <v>476.67</v>
      </c>
      <c r="I5" s="21">
        <v>470</v>
      </c>
      <c r="J5" s="21">
        <v>2215</v>
      </c>
      <c r="K5" s="31">
        <f t="shared" si="0"/>
        <v>4130</v>
      </c>
      <c r="L5" s="26">
        <f t="shared" si="1"/>
        <v>300</v>
      </c>
      <c r="M5" s="25">
        <f t="shared" si="2"/>
        <v>1145</v>
      </c>
    </row>
    <row r="6" spans="1:14" x14ac:dyDescent="0.3">
      <c r="A6" s="36">
        <v>45904</v>
      </c>
      <c r="B6" s="18">
        <v>600</v>
      </c>
      <c r="C6" s="18">
        <v>1140</v>
      </c>
      <c r="D6" s="18">
        <v>0</v>
      </c>
      <c r="E6" s="18">
        <v>1140</v>
      </c>
      <c r="F6" s="15">
        <f t="shared" si="3"/>
        <v>-600</v>
      </c>
      <c r="G6" s="15">
        <f t="shared" si="3"/>
        <v>0</v>
      </c>
      <c r="H6" s="20">
        <v>190</v>
      </c>
      <c r="I6" s="21">
        <v>690</v>
      </c>
      <c r="J6" s="21">
        <v>1310</v>
      </c>
      <c r="K6" s="31">
        <f t="shared" si="0"/>
        <v>1740</v>
      </c>
      <c r="L6" s="26">
        <f t="shared" si="1"/>
        <v>-90</v>
      </c>
      <c r="M6" s="25">
        <f t="shared" si="2"/>
        <v>-170</v>
      </c>
    </row>
    <row r="7" spans="1:14" x14ac:dyDescent="0.3">
      <c r="A7" s="36">
        <v>45905</v>
      </c>
      <c r="B7" s="18">
        <v>3475</v>
      </c>
      <c r="C7" s="18">
        <v>5330</v>
      </c>
      <c r="D7" s="18">
        <v>0</v>
      </c>
      <c r="E7" s="18">
        <v>5330</v>
      </c>
      <c r="F7" s="15">
        <f t="shared" si="3"/>
        <v>-3475</v>
      </c>
      <c r="G7" s="15">
        <f t="shared" si="3"/>
        <v>0</v>
      </c>
      <c r="H7" s="20">
        <v>881.66</v>
      </c>
      <c r="I7" s="21">
        <v>615</v>
      </c>
      <c r="J7" s="21">
        <v>250</v>
      </c>
      <c r="K7" s="31">
        <f t="shared" si="0"/>
        <v>8805</v>
      </c>
      <c r="L7" s="26">
        <f t="shared" si="1"/>
        <v>2860</v>
      </c>
      <c r="M7" s="25">
        <f t="shared" si="2"/>
        <v>5080</v>
      </c>
    </row>
    <row r="8" spans="1:14" x14ac:dyDescent="0.3">
      <c r="A8" s="36">
        <v>45906</v>
      </c>
      <c r="B8" s="18">
        <v>300</v>
      </c>
      <c r="C8" s="18">
        <v>2100</v>
      </c>
      <c r="D8" s="18">
        <v>0</v>
      </c>
      <c r="E8" s="18">
        <v>2100</v>
      </c>
      <c r="F8" s="15">
        <f t="shared" si="3"/>
        <v>-300</v>
      </c>
      <c r="G8" s="15">
        <f t="shared" si="3"/>
        <v>0</v>
      </c>
      <c r="H8" s="20">
        <v>350.01</v>
      </c>
      <c r="I8" s="21">
        <v>190</v>
      </c>
      <c r="J8" s="21">
        <v>0</v>
      </c>
      <c r="K8" s="31">
        <f t="shared" si="0"/>
        <v>2400</v>
      </c>
      <c r="L8" s="26">
        <f t="shared" si="1"/>
        <v>110</v>
      </c>
      <c r="M8" s="25">
        <f t="shared" si="2"/>
        <v>2100</v>
      </c>
    </row>
    <row r="9" spans="1:14" x14ac:dyDescent="0.3">
      <c r="A9" s="36">
        <v>45907</v>
      </c>
      <c r="B9" s="18">
        <v>850</v>
      </c>
      <c r="C9" s="18">
        <v>140</v>
      </c>
      <c r="D9" s="18">
        <v>0</v>
      </c>
      <c r="E9" s="18">
        <v>140</v>
      </c>
      <c r="F9" s="15">
        <f t="shared" si="3"/>
        <v>-850</v>
      </c>
      <c r="G9" s="15">
        <f t="shared" si="3"/>
        <v>0</v>
      </c>
      <c r="H9" s="20">
        <v>23.33</v>
      </c>
      <c r="I9" s="21">
        <v>410</v>
      </c>
      <c r="J9" s="21">
        <v>3840</v>
      </c>
      <c r="K9" s="31">
        <f t="shared" si="0"/>
        <v>990</v>
      </c>
      <c r="L9" s="26">
        <f t="shared" si="1"/>
        <v>440</v>
      </c>
      <c r="M9" s="25">
        <f t="shared" si="2"/>
        <v>-3700</v>
      </c>
    </row>
    <row r="10" spans="1:14" x14ac:dyDescent="0.3">
      <c r="A10" s="36">
        <v>45908</v>
      </c>
      <c r="B10" s="18">
        <v>500</v>
      </c>
      <c r="C10" s="18">
        <v>1515</v>
      </c>
      <c r="D10" s="18">
        <v>0</v>
      </c>
      <c r="E10" s="18">
        <v>1515</v>
      </c>
      <c r="F10" s="15">
        <f t="shared" si="3"/>
        <v>-500</v>
      </c>
      <c r="G10" s="15">
        <f t="shared" si="3"/>
        <v>0</v>
      </c>
      <c r="H10" s="20">
        <v>252.49</v>
      </c>
      <c r="I10" s="21">
        <v>530</v>
      </c>
      <c r="J10" s="21">
        <v>0</v>
      </c>
      <c r="K10" s="31">
        <f t="shared" si="0"/>
        <v>2015</v>
      </c>
      <c r="L10" s="26">
        <f t="shared" si="1"/>
        <v>-30</v>
      </c>
      <c r="M10" s="25">
        <f t="shared" si="2"/>
        <v>1515</v>
      </c>
    </row>
    <row r="11" spans="1:14" x14ac:dyDescent="0.3">
      <c r="A11" s="36">
        <v>45909</v>
      </c>
      <c r="B11" s="18">
        <v>750</v>
      </c>
      <c r="C11" s="18">
        <v>620</v>
      </c>
      <c r="D11" s="18">
        <v>0</v>
      </c>
      <c r="E11" s="18">
        <v>620</v>
      </c>
      <c r="F11" s="15">
        <f t="shared" si="3"/>
        <v>-750</v>
      </c>
      <c r="G11" s="15">
        <f t="shared" si="3"/>
        <v>0</v>
      </c>
      <c r="H11" s="20">
        <v>103.33</v>
      </c>
      <c r="I11" s="21">
        <v>490</v>
      </c>
      <c r="J11" s="21">
        <v>0</v>
      </c>
      <c r="K11" s="31">
        <f t="shared" si="0"/>
        <v>1370</v>
      </c>
      <c r="L11" s="26">
        <f t="shared" si="1"/>
        <v>260</v>
      </c>
      <c r="M11" s="25">
        <f t="shared" si="2"/>
        <v>620</v>
      </c>
    </row>
    <row r="12" spans="1:14" x14ac:dyDescent="0.3">
      <c r="A12" s="36">
        <v>45910</v>
      </c>
      <c r="B12" s="18">
        <v>1600</v>
      </c>
      <c r="C12" s="18">
        <v>1530</v>
      </c>
      <c r="D12" s="18">
        <v>0</v>
      </c>
      <c r="E12" s="18">
        <v>1530</v>
      </c>
      <c r="F12" s="15">
        <f t="shared" si="3"/>
        <v>-1600</v>
      </c>
      <c r="G12" s="15">
        <f t="shared" si="3"/>
        <v>0</v>
      </c>
      <c r="H12" s="20">
        <v>261.67</v>
      </c>
      <c r="I12" s="21">
        <v>6000</v>
      </c>
      <c r="J12" s="21">
        <v>13500</v>
      </c>
      <c r="K12" s="31">
        <f t="shared" si="0"/>
        <v>3130</v>
      </c>
      <c r="L12" s="26">
        <f t="shared" si="1"/>
        <v>-4400</v>
      </c>
      <c r="M12" s="25">
        <f t="shared" si="2"/>
        <v>-11970</v>
      </c>
      <c r="N12" t="s">
        <v>17</v>
      </c>
    </row>
    <row r="13" spans="1:14" x14ac:dyDescent="0.3">
      <c r="A13" s="36">
        <v>45911</v>
      </c>
      <c r="B13" s="18">
        <v>870</v>
      </c>
      <c r="C13" s="18">
        <v>5010</v>
      </c>
      <c r="D13" s="18">
        <v>0</v>
      </c>
      <c r="E13" s="18">
        <v>5010</v>
      </c>
      <c r="F13" s="15">
        <f t="shared" si="3"/>
        <v>-870</v>
      </c>
      <c r="G13" s="15">
        <f t="shared" si="3"/>
        <v>0</v>
      </c>
      <c r="H13" s="20">
        <v>834.99</v>
      </c>
      <c r="I13" s="21">
        <v>400</v>
      </c>
      <c r="J13" s="21">
        <v>0</v>
      </c>
      <c r="K13" s="31">
        <f t="shared" si="0"/>
        <v>5880</v>
      </c>
      <c r="L13" s="26">
        <f t="shared" si="1"/>
        <v>470</v>
      </c>
      <c r="M13" s="25">
        <f t="shared" si="2"/>
        <v>5010</v>
      </c>
    </row>
    <row r="14" spans="1:14" x14ac:dyDescent="0.3">
      <c r="A14" s="36">
        <v>45912</v>
      </c>
      <c r="B14" s="18">
        <v>1800</v>
      </c>
      <c r="C14" s="18">
        <v>1200</v>
      </c>
      <c r="D14" s="18">
        <v>0</v>
      </c>
      <c r="E14" s="18">
        <v>1200</v>
      </c>
      <c r="F14" s="15">
        <f t="shared" si="3"/>
        <v>-1800</v>
      </c>
      <c r="G14" s="15">
        <f t="shared" si="3"/>
        <v>0</v>
      </c>
      <c r="H14" s="20">
        <v>200.01</v>
      </c>
      <c r="I14" s="21">
        <v>725</v>
      </c>
      <c r="J14" s="21">
        <v>6600</v>
      </c>
      <c r="K14" s="31">
        <f t="shared" si="0"/>
        <v>3000</v>
      </c>
      <c r="L14" s="26">
        <f t="shared" si="1"/>
        <v>1075</v>
      </c>
      <c r="M14" s="25">
        <f t="shared" si="2"/>
        <v>-5400</v>
      </c>
    </row>
    <row r="15" spans="1:14" x14ac:dyDescent="0.3">
      <c r="A15" s="36">
        <v>45913</v>
      </c>
      <c r="B15" s="18">
        <v>2360</v>
      </c>
      <c r="C15" s="18">
        <v>7175</v>
      </c>
      <c r="D15" s="18">
        <v>0</v>
      </c>
      <c r="E15" s="18">
        <v>7175</v>
      </c>
      <c r="F15" s="15">
        <f t="shared" si="3"/>
        <v>-2360</v>
      </c>
      <c r="G15" s="15">
        <f t="shared" si="3"/>
        <v>0</v>
      </c>
      <c r="H15" s="20">
        <v>1230.83</v>
      </c>
      <c r="I15" s="21">
        <v>550</v>
      </c>
      <c r="J15" s="21">
        <v>0</v>
      </c>
      <c r="K15" s="31">
        <f t="shared" si="0"/>
        <v>9535</v>
      </c>
      <c r="L15" s="26">
        <f t="shared" si="1"/>
        <v>1810</v>
      </c>
      <c r="M15" s="25">
        <f t="shared" si="2"/>
        <v>7175</v>
      </c>
    </row>
    <row r="16" spans="1:14" x14ac:dyDescent="0.3">
      <c r="A16" s="36">
        <v>45914</v>
      </c>
      <c r="B16" s="18">
        <v>1600</v>
      </c>
      <c r="C16" s="18">
        <v>1180</v>
      </c>
      <c r="D16" s="18">
        <v>0</v>
      </c>
      <c r="E16" s="18">
        <v>1180</v>
      </c>
      <c r="F16" s="15">
        <f t="shared" si="3"/>
        <v>-1600</v>
      </c>
      <c r="G16" s="15">
        <f t="shared" si="3"/>
        <v>0</v>
      </c>
      <c r="H16" s="20">
        <v>197.5</v>
      </c>
      <c r="I16" s="21">
        <v>450</v>
      </c>
      <c r="J16" s="21">
        <v>0</v>
      </c>
      <c r="K16" s="31">
        <f t="shared" si="0"/>
        <v>2780</v>
      </c>
      <c r="L16" s="26">
        <f t="shared" si="1"/>
        <v>1150</v>
      </c>
      <c r="M16" s="25">
        <f t="shared" si="2"/>
        <v>1180</v>
      </c>
    </row>
    <row r="17" spans="1:14" x14ac:dyDescent="0.3">
      <c r="A17" s="36">
        <v>45915</v>
      </c>
      <c r="B17" s="18">
        <v>650</v>
      </c>
      <c r="C17" s="18">
        <v>820</v>
      </c>
      <c r="D17" s="18">
        <v>0</v>
      </c>
      <c r="E17" s="18">
        <v>820</v>
      </c>
      <c r="F17" s="15">
        <f t="shared" si="3"/>
        <v>-650</v>
      </c>
      <c r="G17" s="15">
        <f t="shared" si="3"/>
        <v>0</v>
      </c>
      <c r="H17" s="20">
        <v>136.66999999999999</v>
      </c>
      <c r="I17" s="21">
        <v>0</v>
      </c>
      <c r="J17" s="21">
        <v>375</v>
      </c>
      <c r="K17" s="31">
        <f t="shared" si="0"/>
        <v>1470</v>
      </c>
      <c r="L17" s="26">
        <f t="shared" si="1"/>
        <v>650</v>
      </c>
      <c r="M17" s="25">
        <f t="shared" si="2"/>
        <v>445</v>
      </c>
    </row>
    <row r="18" spans="1:14" x14ac:dyDescent="0.3">
      <c r="A18" s="36">
        <v>45916</v>
      </c>
      <c r="B18" s="18">
        <v>200</v>
      </c>
      <c r="C18" s="18">
        <v>1260</v>
      </c>
      <c r="D18" s="18">
        <v>0</v>
      </c>
      <c r="E18" s="18">
        <v>1260</v>
      </c>
      <c r="F18" s="15">
        <f t="shared" si="3"/>
        <v>-200</v>
      </c>
      <c r="G18" s="15">
        <f t="shared" si="3"/>
        <v>0</v>
      </c>
      <c r="H18" s="20">
        <v>210.01</v>
      </c>
      <c r="I18" s="21">
        <v>100</v>
      </c>
      <c r="J18" s="21">
        <v>0</v>
      </c>
      <c r="K18" s="31">
        <f t="shared" si="0"/>
        <v>1460</v>
      </c>
      <c r="L18" s="26">
        <f t="shared" si="1"/>
        <v>100</v>
      </c>
      <c r="M18" s="25">
        <f t="shared" si="2"/>
        <v>1260</v>
      </c>
    </row>
    <row r="19" spans="1:14" x14ac:dyDescent="0.3">
      <c r="A19" s="36">
        <v>45917</v>
      </c>
      <c r="B19" s="18">
        <v>450</v>
      </c>
      <c r="C19" s="18">
        <v>2940</v>
      </c>
      <c r="D19" s="18">
        <v>0</v>
      </c>
      <c r="E19" s="18">
        <v>2940</v>
      </c>
      <c r="F19" s="15">
        <f t="shared" si="3"/>
        <v>-450</v>
      </c>
      <c r="G19" s="15">
        <f t="shared" si="3"/>
        <v>0</v>
      </c>
      <c r="H19" s="20">
        <v>490</v>
      </c>
      <c r="I19" s="21">
        <v>6390</v>
      </c>
      <c r="J19" s="21">
        <v>11000</v>
      </c>
      <c r="K19" s="31">
        <f t="shared" si="0"/>
        <v>3390</v>
      </c>
      <c r="L19" s="26">
        <f t="shared" si="1"/>
        <v>-5940</v>
      </c>
      <c r="M19" s="25">
        <f t="shared" si="2"/>
        <v>-8060</v>
      </c>
    </row>
    <row r="20" spans="1:14" x14ac:dyDescent="0.3">
      <c r="A20" s="36">
        <v>45918</v>
      </c>
      <c r="B20" s="18">
        <v>700</v>
      </c>
      <c r="C20" s="18">
        <v>2620</v>
      </c>
      <c r="D20" s="18">
        <v>0</v>
      </c>
      <c r="E20" s="18">
        <v>2620</v>
      </c>
      <c r="F20" s="15">
        <f t="shared" si="3"/>
        <v>-700</v>
      </c>
      <c r="G20" s="15">
        <f t="shared" si="3"/>
        <v>0</v>
      </c>
      <c r="H20" s="20" t="s">
        <v>19</v>
      </c>
      <c r="I20" s="21">
        <v>500</v>
      </c>
      <c r="J20" s="21">
        <v>640</v>
      </c>
      <c r="K20" s="31">
        <f t="shared" si="0"/>
        <v>3320</v>
      </c>
      <c r="L20" s="26">
        <f t="shared" si="1"/>
        <v>200</v>
      </c>
      <c r="M20" s="25">
        <f t="shared" si="2"/>
        <v>1980</v>
      </c>
    </row>
    <row r="21" spans="1:14" x14ac:dyDescent="0.3">
      <c r="A21" s="36">
        <v>45919</v>
      </c>
      <c r="B21" s="18">
        <v>400</v>
      </c>
      <c r="C21" s="18">
        <v>3120</v>
      </c>
      <c r="D21" s="18">
        <v>0</v>
      </c>
      <c r="E21" s="18">
        <v>3120</v>
      </c>
      <c r="F21" s="15">
        <f t="shared" si="3"/>
        <v>-400</v>
      </c>
      <c r="G21" s="15">
        <f t="shared" si="3"/>
        <v>0</v>
      </c>
      <c r="H21" s="20">
        <v>520</v>
      </c>
      <c r="I21" s="21">
        <v>95</v>
      </c>
      <c r="J21" s="21">
        <v>4290</v>
      </c>
      <c r="K21" s="31">
        <f t="shared" si="0"/>
        <v>3520</v>
      </c>
      <c r="L21" s="26">
        <f t="shared" si="1"/>
        <v>305</v>
      </c>
      <c r="M21" s="25">
        <f t="shared" si="2"/>
        <v>-1170</v>
      </c>
    </row>
    <row r="22" spans="1:14" x14ac:dyDescent="0.3">
      <c r="A22" s="36">
        <v>45920</v>
      </c>
      <c r="B22" s="18">
        <v>330</v>
      </c>
      <c r="C22" s="18">
        <v>5520</v>
      </c>
      <c r="D22" s="18">
        <v>0</v>
      </c>
      <c r="E22" s="18">
        <v>5520</v>
      </c>
      <c r="F22" s="15">
        <f t="shared" si="3"/>
        <v>-330</v>
      </c>
      <c r="G22" s="15">
        <f t="shared" si="3"/>
        <v>0</v>
      </c>
      <c r="H22" s="20">
        <v>836.67</v>
      </c>
      <c r="I22" s="21">
        <v>635</v>
      </c>
      <c r="J22" s="21">
        <v>0</v>
      </c>
      <c r="K22" s="31">
        <f t="shared" si="0"/>
        <v>5850</v>
      </c>
      <c r="L22" s="26">
        <f t="shared" si="1"/>
        <v>-305</v>
      </c>
      <c r="M22" s="25">
        <f t="shared" si="2"/>
        <v>5520</v>
      </c>
    </row>
    <row r="23" spans="1:14" x14ac:dyDescent="0.3">
      <c r="A23" s="36">
        <v>45921</v>
      </c>
      <c r="B23" s="18">
        <v>210</v>
      </c>
      <c r="C23" s="18">
        <v>3435</v>
      </c>
      <c r="D23" s="18">
        <v>0</v>
      </c>
      <c r="E23" s="18">
        <v>3435</v>
      </c>
      <c r="F23" s="15">
        <f t="shared" si="3"/>
        <v>-210</v>
      </c>
      <c r="G23" s="15">
        <f t="shared" si="3"/>
        <v>0</v>
      </c>
      <c r="H23" s="20">
        <v>572.5</v>
      </c>
      <c r="I23" s="21">
        <v>0</v>
      </c>
      <c r="J23" s="21">
        <v>0</v>
      </c>
      <c r="K23" s="31">
        <f t="shared" si="0"/>
        <v>3645</v>
      </c>
      <c r="L23" s="26">
        <f t="shared" si="1"/>
        <v>210</v>
      </c>
      <c r="M23" s="25">
        <f t="shared" si="2"/>
        <v>3435</v>
      </c>
    </row>
    <row r="24" spans="1:14" x14ac:dyDescent="0.3">
      <c r="A24" s="36">
        <v>45922</v>
      </c>
      <c r="B24" s="18">
        <v>30</v>
      </c>
      <c r="C24" s="18">
        <v>1890</v>
      </c>
      <c r="D24" s="18">
        <v>0</v>
      </c>
      <c r="E24" s="18">
        <v>1890</v>
      </c>
      <c r="F24" s="15">
        <f t="shared" si="3"/>
        <v>-30</v>
      </c>
      <c r="G24" s="15">
        <f t="shared" si="3"/>
        <v>0</v>
      </c>
      <c r="H24" s="20">
        <v>315</v>
      </c>
      <c r="I24" s="21">
        <v>0</v>
      </c>
      <c r="J24" s="21">
        <v>240</v>
      </c>
      <c r="K24" s="31">
        <f t="shared" si="0"/>
        <v>1920</v>
      </c>
      <c r="L24" s="26">
        <f t="shared" si="1"/>
        <v>30</v>
      </c>
      <c r="M24" s="25">
        <f t="shared" si="2"/>
        <v>1650</v>
      </c>
    </row>
    <row r="25" spans="1:14" x14ac:dyDescent="0.3">
      <c r="A25" s="36">
        <v>45923</v>
      </c>
      <c r="B25" s="18">
        <v>300</v>
      </c>
      <c r="C25" s="18">
        <v>2940</v>
      </c>
      <c r="D25" s="18">
        <v>0</v>
      </c>
      <c r="E25" s="18">
        <v>2940</v>
      </c>
      <c r="F25" s="15">
        <f t="shared" si="3"/>
        <v>-300</v>
      </c>
      <c r="G25" s="15">
        <f t="shared" si="3"/>
        <v>0</v>
      </c>
      <c r="H25" s="20">
        <v>490</v>
      </c>
      <c r="I25" s="21">
        <v>255</v>
      </c>
      <c r="J25" s="21">
        <v>13705</v>
      </c>
      <c r="K25" s="31">
        <f t="shared" si="0"/>
        <v>3240</v>
      </c>
      <c r="L25" s="26">
        <f t="shared" si="1"/>
        <v>45</v>
      </c>
      <c r="M25" s="25">
        <f t="shared" si="2"/>
        <v>-10765</v>
      </c>
      <c r="N25" t="s">
        <v>18</v>
      </c>
    </row>
    <row r="26" spans="1:14" x14ac:dyDescent="0.3">
      <c r="A26" s="36">
        <v>45924</v>
      </c>
      <c r="B26" s="18">
        <v>650</v>
      </c>
      <c r="C26" s="18">
        <v>1770</v>
      </c>
      <c r="D26" s="18">
        <v>0</v>
      </c>
      <c r="E26" s="18">
        <v>1770</v>
      </c>
      <c r="F26" s="15">
        <f t="shared" si="3"/>
        <v>-650</v>
      </c>
      <c r="G26" s="15">
        <f t="shared" si="3"/>
        <v>0</v>
      </c>
      <c r="H26" s="20">
        <v>175</v>
      </c>
      <c r="I26" s="21">
        <v>200</v>
      </c>
      <c r="J26" s="21">
        <v>660</v>
      </c>
      <c r="K26" s="31">
        <f t="shared" si="0"/>
        <v>2420</v>
      </c>
      <c r="L26" s="26">
        <f t="shared" si="1"/>
        <v>450</v>
      </c>
      <c r="M26" s="25">
        <f t="shared" si="2"/>
        <v>1110</v>
      </c>
    </row>
    <row r="27" spans="1:14" x14ac:dyDescent="0.3">
      <c r="A27" s="36">
        <v>45925</v>
      </c>
      <c r="B27" s="18">
        <v>1130</v>
      </c>
      <c r="C27" s="18">
        <v>2210</v>
      </c>
      <c r="D27" s="18">
        <v>0</v>
      </c>
      <c r="E27" s="18">
        <v>2210</v>
      </c>
      <c r="F27" s="15">
        <f t="shared" si="3"/>
        <v>-1130</v>
      </c>
      <c r="G27" s="15">
        <f t="shared" si="3"/>
        <v>0</v>
      </c>
      <c r="H27" s="20">
        <v>368.33</v>
      </c>
      <c r="I27" s="21">
        <v>280</v>
      </c>
      <c r="J27" s="21">
        <v>380</v>
      </c>
      <c r="K27" s="31">
        <f t="shared" si="0"/>
        <v>3340</v>
      </c>
      <c r="L27" s="26">
        <f t="shared" si="1"/>
        <v>850</v>
      </c>
      <c r="M27" s="25">
        <f t="shared" si="2"/>
        <v>1830</v>
      </c>
    </row>
    <row r="28" spans="1:14" x14ac:dyDescent="0.3">
      <c r="A28" s="36">
        <v>45926</v>
      </c>
      <c r="B28" s="18">
        <v>420</v>
      </c>
      <c r="C28" s="18">
        <v>970</v>
      </c>
      <c r="D28" s="18">
        <v>0</v>
      </c>
      <c r="E28" s="18">
        <v>970</v>
      </c>
      <c r="F28" s="15">
        <f t="shared" si="3"/>
        <v>-420</v>
      </c>
      <c r="G28" s="15">
        <f t="shared" si="3"/>
        <v>0</v>
      </c>
      <c r="H28" s="20">
        <v>151.66999999999999</v>
      </c>
      <c r="I28" s="21">
        <v>315</v>
      </c>
      <c r="J28" s="21">
        <v>0</v>
      </c>
      <c r="K28" s="31">
        <f t="shared" si="0"/>
        <v>1390</v>
      </c>
      <c r="L28" s="26">
        <f t="shared" si="1"/>
        <v>105</v>
      </c>
      <c r="M28" s="25">
        <f t="shared" si="2"/>
        <v>970</v>
      </c>
    </row>
    <row r="29" spans="1:14" x14ac:dyDescent="0.3">
      <c r="A29" s="36">
        <v>45927</v>
      </c>
      <c r="B29" s="18">
        <v>420</v>
      </c>
      <c r="C29" s="18">
        <v>1870</v>
      </c>
      <c r="D29" s="18">
        <v>0</v>
      </c>
      <c r="E29" s="18">
        <v>1870</v>
      </c>
      <c r="F29" s="15">
        <f t="shared" si="3"/>
        <v>-420</v>
      </c>
      <c r="G29" s="15">
        <f t="shared" si="3"/>
        <v>0</v>
      </c>
      <c r="H29" s="20">
        <v>311.67</v>
      </c>
      <c r="I29" s="21">
        <v>2200</v>
      </c>
      <c r="J29" s="21">
        <v>6000</v>
      </c>
      <c r="K29" s="31">
        <f t="shared" si="0"/>
        <v>2290</v>
      </c>
      <c r="L29" s="26">
        <f t="shared" si="1"/>
        <v>-1780</v>
      </c>
      <c r="M29" s="25">
        <f t="shared" si="2"/>
        <v>-4130</v>
      </c>
    </row>
    <row r="30" spans="1:14" x14ac:dyDescent="0.3">
      <c r="A30" s="36">
        <v>45928</v>
      </c>
      <c r="B30" s="18">
        <v>1550</v>
      </c>
      <c r="C30" s="18">
        <v>2170</v>
      </c>
      <c r="D30" s="18">
        <v>0</v>
      </c>
      <c r="E30" s="18">
        <v>2170</v>
      </c>
      <c r="F30" s="15">
        <f t="shared" si="3"/>
        <v>-1550</v>
      </c>
      <c r="G30" s="15">
        <f t="shared" si="3"/>
        <v>0</v>
      </c>
      <c r="H30" s="20">
        <v>361.66</v>
      </c>
      <c r="I30" s="21">
        <v>100</v>
      </c>
      <c r="J30" s="21">
        <v>0</v>
      </c>
      <c r="K30" s="31">
        <f t="shared" si="0"/>
        <v>3720</v>
      </c>
      <c r="L30" s="26">
        <f t="shared" si="1"/>
        <v>1450</v>
      </c>
      <c r="M30" s="25">
        <f t="shared" si="2"/>
        <v>2170</v>
      </c>
    </row>
    <row r="31" spans="1:14" x14ac:dyDescent="0.3">
      <c r="A31" s="36">
        <v>45929</v>
      </c>
      <c r="B31" s="18">
        <v>400</v>
      </c>
      <c r="C31" s="18">
        <v>3820</v>
      </c>
      <c r="D31" s="18">
        <v>0</v>
      </c>
      <c r="E31" s="18">
        <v>3820</v>
      </c>
      <c r="F31" s="15">
        <f t="shared" si="3"/>
        <v>-400</v>
      </c>
      <c r="G31" s="15">
        <f t="shared" si="3"/>
        <v>0</v>
      </c>
      <c r="H31" s="20">
        <v>420</v>
      </c>
      <c r="I31" s="21">
        <v>270</v>
      </c>
      <c r="J31" s="21">
        <v>4425</v>
      </c>
      <c r="K31" s="31">
        <f t="shared" si="0"/>
        <v>4220</v>
      </c>
      <c r="L31" s="26">
        <f t="shared" si="1"/>
        <v>130</v>
      </c>
      <c r="M31" s="25">
        <f t="shared" si="2"/>
        <v>-605</v>
      </c>
    </row>
    <row r="32" spans="1:14" x14ac:dyDescent="0.3">
      <c r="A32" s="36">
        <v>45930</v>
      </c>
      <c r="B32" s="18">
        <v>650</v>
      </c>
      <c r="C32" s="18">
        <v>650</v>
      </c>
      <c r="D32" s="18">
        <v>0</v>
      </c>
      <c r="E32" s="18">
        <v>650</v>
      </c>
      <c r="F32" s="15">
        <f t="shared" si="3"/>
        <v>-650</v>
      </c>
      <c r="G32" s="15">
        <f t="shared" si="3"/>
        <v>0</v>
      </c>
      <c r="H32" s="20">
        <v>58.33</v>
      </c>
      <c r="I32" s="21">
        <v>135</v>
      </c>
      <c r="J32" s="21">
        <v>0</v>
      </c>
      <c r="K32" s="31">
        <f t="shared" si="0"/>
        <v>1300</v>
      </c>
      <c r="L32" s="26">
        <f t="shared" si="1"/>
        <v>515</v>
      </c>
      <c r="M32" s="25">
        <f t="shared" si="2"/>
        <v>650</v>
      </c>
    </row>
    <row r="33" spans="1:14" x14ac:dyDescent="0.3">
      <c r="A33" s="36"/>
      <c r="B33" s="18"/>
      <c r="C33" s="18"/>
      <c r="D33" s="18"/>
      <c r="E33" s="18"/>
      <c r="F33" s="15"/>
      <c r="G33" s="15"/>
      <c r="H33" s="20"/>
      <c r="I33" s="21"/>
      <c r="J33" s="33"/>
      <c r="K33" s="31"/>
      <c r="L33" s="26"/>
      <c r="M33" s="25"/>
    </row>
    <row r="34" spans="1:14" s="8" customFormat="1" ht="27.6" customHeight="1" x14ac:dyDescent="0.35">
      <c r="A34" s="24" t="s">
        <v>4</v>
      </c>
      <c r="B34" s="22">
        <f>SUM(B3:B33)</f>
        <v>26185</v>
      </c>
      <c r="C34" s="22">
        <f>SUM(C3:C33)</f>
        <v>73105</v>
      </c>
      <c r="D34" s="22"/>
      <c r="E34" s="22">
        <f t="shared" ref="E34:M34" si="4">SUM(E3:E33)</f>
        <v>73105</v>
      </c>
      <c r="F34" s="15">
        <f t="shared" si="4"/>
        <v>-26185</v>
      </c>
      <c r="G34" s="23">
        <f t="shared" si="4"/>
        <v>0</v>
      </c>
      <c r="H34" s="24" t="s">
        <v>17</v>
      </c>
      <c r="I34" s="24">
        <f t="shared" si="4"/>
        <v>28120</v>
      </c>
      <c r="J34" s="24">
        <f t="shared" si="4"/>
        <v>76035</v>
      </c>
      <c r="K34" s="32">
        <f t="shared" si="4"/>
        <v>99290</v>
      </c>
      <c r="L34" s="27">
        <f t="shared" si="4"/>
        <v>-1935</v>
      </c>
      <c r="M34" s="27">
        <f t="shared" si="4"/>
        <v>-2930</v>
      </c>
      <c r="N34" s="13"/>
    </row>
    <row r="35" spans="1:14" x14ac:dyDescent="0.3">
      <c r="K35" s="37">
        <f>AVERAGE(K3:K32)</f>
        <v>3309.6666666666665</v>
      </c>
    </row>
    <row r="37" spans="1:14" ht="18" x14ac:dyDescent="0.3">
      <c r="G37" s="51" t="s">
        <v>14</v>
      </c>
      <c r="H37" s="51"/>
      <c r="I37" s="12">
        <f>SUM(K3:K33)</f>
        <v>99290</v>
      </c>
    </row>
    <row r="38" spans="1:14" ht="18" x14ac:dyDescent="0.3">
      <c r="G38" s="51" t="s">
        <v>16</v>
      </c>
      <c r="H38" s="51"/>
      <c r="I38" s="12">
        <f>SUM(+I34+J34)</f>
        <v>104155</v>
      </c>
    </row>
    <row r="39" spans="1:14" ht="18" x14ac:dyDescent="0.3">
      <c r="G39" s="51" t="s">
        <v>15</v>
      </c>
      <c r="H39" s="51"/>
      <c r="I39" s="12">
        <f>SUM(L34+M34)</f>
        <v>-4865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9"/>
  <sheetViews>
    <sheetView topLeftCell="A12" workbookViewId="0">
      <selection activeCell="H3" sqref="H3:H33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6">
        <v>45870</v>
      </c>
      <c r="B3" s="14">
        <v>220</v>
      </c>
      <c r="C3" s="14">
        <v>3320</v>
      </c>
      <c r="D3" s="14">
        <v>0</v>
      </c>
      <c r="E3" s="14">
        <v>3320</v>
      </c>
      <c r="F3" s="15">
        <f>SUM(D3-B3)</f>
        <v>-220</v>
      </c>
      <c r="G3" s="15">
        <f>SUM(E3-C3)</f>
        <v>0</v>
      </c>
      <c r="H3" s="16">
        <v>403.35</v>
      </c>
      <c r="I3" s="17">
        <v>125</v>
      </c>
      <c r="J3" s="17">
        <v>265</v>
      </c>
      <c r="K3" s="31">
        <f>SUM(B3:C3)</f>
        <v>3540</v>
      </c>
      <c r="L3" s="25">
        <f>SUM(B3-I3)</f>
        <v>95</v>
      </c>
      <c r="M3" s="25">
        <f>SUM(E3-J3)</f>
        <v>3055</v>
      </c>
    </row>
    <row r="4" spans="1:14" x14ac:dyDescent="0.3">
      <c r="A4" s="36">
        <v>45871</v>
      </c>
      <c r="B4" s="18">
        <v>400</v>
      </c>
      <c r="C4" s="18">
        <v>2905</v>
      </c>
      <c r="D4" s="18">
        <v>0</v>
      </c>
      <c r="E4" s="18">
        <v>2905</v>
      </c>
      <c r="F4" s="15">
        <f>SUM(D4-B4)</f>
        <v>-400</v>
      </c>
      <c r="G4" s="15">
        <f>SUM(E4-C4)</f>
        <v>0</v>
      </c>
      <c r="H4" s="20">
        <v>390</v>
      </c>
      <c r="I4" s="21">
        <v>685</v>
      </c>
      <c r="J4" s="21">
        <v>0</v>
      </c>
      <c r="K4" s="31">
        <f t="shared" ref="K4:K33" si="0">SUM(B4:C4)</f>
        <v>3305</v>
      </c>
      <c r="L4" s="26">
        <f t="shared" ref="L4:L33" si="1">SUM(B4-I4)</f>
        <v>-285</v>
      </c>
      <c r="M4" s="25">
        <f t="shared" ref="M4:M33" si="2">SUM(E4-J4)</f>
        <v>2905</v>
      </c>
    </row>
    <row r="5" spans="1:14" x14ac:dyDescent="0.3">
      <c r="A5" s="36">
        <v>45872</v>
      </c>
      <c r="B5" s="18">
        <v>350</v>
      </c>
      <c r="C5" s="18">
        <v>3250</v>
      </c>
      <c r="D5" s="18">
        <v>0</v>
      </c>
      <c r="E5" s="18">
        <v>3250</v>
      </c>
      <c r="F5" s="15">
        <f t="shared" ref="F5:G32" si="3">SUM(D5-B5)</f>
        <v>-350</v>
      </c>
      <c r="G5" s="15">
        <f t="shared" si="3"/>
        <v>0</v>
      </c>
      <c r="H5" s="20">
        <v>541.66</v>
      </c>
      <c r="I5" s="21">
        <v>750</v>
      </c>
      <c r="J5" s="21">
        <v>462</v>
      </c>
      <c r="K5" s="31">
        <f t="shared" si="0"/>
        <v>3600</v>
      </c>
      <c r="L5" s="26">
        <f t="shared" si="1"/>
        <v>-400</v>
      </c>
      <c r="M5" s="25">
        <f t="shared" si="2"/>
        <v>2788</v>
      </c>
    </row>
    <row r="6" spans="1:14" x14ac:dyDescent="0.3">
      <c r="A6" s="36">
        <v>45873</v>
      </c>
      <c r="B6" s="18">
        <v>370</v>
      </c>
      <c r="C6" s="18">
        <v>2960</v>
      </c>
      <c r="D6" s="18">
        <v>0</v>
      </c>
      <c r="E6" s="18">
        <v>2960</v>
      </c>
      <c r="F6" s="15">
        <f t="shared" si="3"/>
        <v>-370</v>
      </c>
      <c r="G6" s="15">
        <f t="shared" si="3"/>
        <v>0</v>
      </c>
      <c r="H6" s="20">
        <v>493.33</v>
      </c>
      <c r="I6" s="21">
        <v>810</v>
      </c>
      <c r="J6" s="21">
        <v>810</v>
      </c>
      <c r="K6" s="31">
        <f t="shared" si="0"/>
        <v>3330</v>
      </c>
      <c r="L6" s="26">
        <f t="shared" si="1"/>
        <v>-440</v>
      </c>
      <c r="M6" s="25">
        <f t="shared" si="2"/>
        <v>2150</v>
      </c>
    </row>
    <row r="7" spans="1:14" x14ac:dyDescent="0.3">
      <c r="A7" s="36">
        <v>45874</v>
      </c>
      <c r="B7" s="18">
        <v>200</v>
      </c>
      <c r="C7" s="18">
        <v>2745</v>
      </c>
      <c r="D7" s="18">
        <v>0</v>
      </c>
      <c r="E7" s="18">
        <v>2745</v>
      </c>
      <c r="F7" s="15">
        <f t="shared" si="3"/>
        <v>-200</v>
      </c>
      <c r="G7" s="15">
        <f t="shared" si="3"/>
        <v>0</v>
      </c>
      <c r="H7" s="20">
        <v>457.5</v>
      </c>
      <c r="I7" s="21">
        <v>540</v>
      </c>
      <c r="J7" s="21">
        <v>560</v>
      </c>
      <c r="K7" s="31">
        <f t="shared" si="0"/>
        <v>2945</v>
      </c>
      <c r="L7" s="26">
        <f t="shared" si="1"/>
        <v>-340</v>
      </c>
      <c r="M7" s="25">
        <f t="shared" si="2"/>
        <v>2185</v>
      </c>
    </row>
    <row r="8" spans="1:14" x14ac:dyDescent="0.3">
      <c r="A8" s="36">
        <v>45875</v>
      </c>
      <c r="B8" s="18">
        <v>1370</v>
      </c>
      <c r="C8" s="18">
        <v>2120</v>
      </c>
      <c r="D8" s="18">
        <v>0</v>
      </c>
      <c r="E8" s="18">
        <v>2120</v>
      </c>
      <c r="F8" s="15">
        <f t="shared" si="3"/>
        <v>-1370</v>
      </c>
      <c r="G8" s="15">
        <f t="shared" si="3"/>
        <v>0</v>
      </c>
      <c r="H8" s="20">
        <v>353.33</v>
      </c>
      <c r="I8" s="21">
        <v>550</v>
      </c>
      <c r="J8" s="21">
        <v>0</v>
      </c>
      <c r="K8" s="31">
        <f t="shared" si="0"/>
        <v>3490</v>
      </c>
      <c r="L8" s="26">
        <f t="shared" si="1"/>
        <v>820</v>
      </c>
      <c r="M8" s="25">
        <f t="shared" si="2"/>
        <v>2120</v>
      </c>
    </row>
    <row r="9" spans="1:14" x14ac:dyDescent="0.3">
      <c r="A9" s="36">
        <v>45876</v>
      </c>
      <c r="B9" s="18">
        <v>1570</v>
      </c>
      <c r="C9" s="18">
        <v>6020</v>
      </c>
      <c r="D9" s="18">
        <v>0</v>
      </c>
      <c r="E9" s="18">
        <v>6020</v>
      </c>
      <c r="F9" s="15">
        <f t="shared" si="3"/>
        <v>-1570</v>
      </c>
      <c r="G9" s="15">
        <f t="shared" si="3"/>
        <v>0</v>
      </c>
      <c r="H9" s="20">
        <v>1003.33</v>
      </c>
      <c r="I9" s="21">
        <v>390</v>
      </c>
      <c r="J9" s="21">
        <v>0</v>
      </c>
      <c r="K9" s="31">
        <f t="shared" si="0"/>
        <v>7590</v>
      </c>
      <c r="L9" s="26">
        <f t="shared" si="1"/>
        <v>1180</v>
      </c>
      <c r="M9" s="25">
        <f t="shared" si="2"/>
        <v>6020</v>
      </c>
    </row>
    <row r="10" spans="1:14" x14ac:dyDescent="0.3">
      <c r="A10" s="36">
        <v>45877</v>
      </c>
      <c r="B10" s="18">
        <v>680</v>
      </c>
      <c r="C10" s="18">
        <v>990</v>
      </c>
      <c r="D10" s="18">
        <v>0</v>
      </c>
      <c r="E10" s="18">
        <v>990</v>
      </c>
      <c r="F10" s="15">
        <f t="shared" si="3"/>
        <v>-680</v>
      </c>
      <c r="G10" s="15">
        <f t="shared" si="3"/>
        <v>0</v>
      </c>
      <c r="H10" s="20">
        <v>118.33</v>
      </c>
      <c r="I10" s="21">
        <v>780</v>
      </c>
      <c r="J10" s="21">
        <v>2400</v>
      </c>
      <c r="K10" s="31">
        <f t="shared" si="0"/>
        <v>1670</v>
      </c>
      <c r="L10" s="26">
        <f t="shared" si="1"/>
        <v>-100</v>
      </c>
      <c r="M10" s="25">
        <f t="shared" si="2"/>
        <v>-1410</v>
      </c>
    </row>
    <row r="11" spans="1:14" x14ac:dyDescent="0.3">
      <c r="A11" s="36">
        <v>45878</v>
      </c>
      <c r="B11" s="18">
        <v>0</v>
      </c>
      <c r="C11" s="18">
        <v>5370</v>
      </c>
      <c r="D11" s="18">
        <v>0</v>
      </c>
      <c r="E11" s="18">
        <v>5370</v>
      </c>
      <c r="F11" s="15">
        <f t="shared" si="3"/>
        <v>0</v>
      </c>
      <c r="G11" s="15">
        <f t="shared" si="3"/>
        <v>0</v>
      </c>
      <c r="H11" s="20">
        <v>895</v>
      </c>
      <c r="I11" s="21">
        <v>380</v>
      </c>
      <c r="J11" s="21">
        <v>0</v>
      </c>
      <c r="K11" s="31">
        <f t="shared" si="0"/>
        <v>5370</v>
      </c>
      <c r="L11" s="26">
        <f t="shared" si="1"/>
        <v>-380</v>
      </c>
      <c r="M11" s="25">
        <f t="shared" si="2"/>
        <v>5370</v>
      </c>
    </row>
    <row r="12" spans="1:14" x14ac:dyDescent="0.3">
      <c r="A12" s="36">
        <v>45879</v>
      </c>
      <c r="B12" s="18">
        <v>200</v>
      </c>
      <c r="C12" s="18">
        <v>3930</v>
      </c>
      <c r="D12" s="18">
        <v>0</v>
      </c>
      <c r="E12" s="18">
        <v>3930</v>
      </c>
      <c r="F12" s="15">
        <f t="shared" si="3"/>
        <v>-200</v>
      </c>
      <c r="G12" s="15">
        <f t="shared" si="3"/>
        <v>0</v>
      </c>
      <c r="H12" s="20">
        <v>655</v>
      </c>
      <c r="I12" s="21">
        <v>685</v>
      </c>
      <c r="J12" s="21">
        <v>5250</v>
      </c>
      <c r="K12" s="31">
        <f t="shared" si="0"/>
        <v>4130</v>
      </c>
      <c r="L12" s="26">
        <f t="shared" si="1"/>
        <v>-485</v>
      </c>
      <c r="M12" s="25">
        <f t="shared" si="2"/>
        <v>-1320</v>
      </c>
      <c r="N12" t="s">
        <v>17</v>
      </c>
    </row>
    <row r="13" spans="1:14" x14ac:dyDescent="0.3">
      <c r="A13" s="36">
        <v>45880</v>
      </c>
      <c r="B13" s="18">
        <v>600</v>
      </c>
      <c r="C13" s="18">
        <f>1140+2940</f>
        <v>4080</v>
      </c>
      <c r="D13" s="18">
        <v>0</v>
      </c>
      <c r="E13" s="18">
        <v>2940</v>
      </c>
      <c r="F13" s="15">
        <f t="shared" si="3"/>
        <v>-600</v>
      </c>
      <c r="G13" s="15">
        <f t="shared" si="3"/>
        <v>-1140</v>
      </c>
      <c r="H13" s="20">
        <v>504.18</v>
      </c>
      <c r="I13" s="21">
        <f>160+2000</f>
        <v>2160</v>
      </c>
      <c r="J13" s="21">
        <f>22000+1400</f>
        <v>23400</v>
      </c>
      <c r="K13" s="31">
        <f t="shared" si="0"/>
        <v>4680</v>
      </c>
      <c r="L13" s="26">
        <f t="shared" si="1"/>
        <v>-1560</v>
      </c>
      <c r="M13" s="25">
        <f t="shared" si="2"/>
        <v>-20460</v>
      </c>
    </row>
    <row r="14" spans="1:14" x14ac:dyDescent="0.3">
      <c r="A14" s="36">
        <v>45881</v>
      </c>
      <c r="B14" s="18">
        <v>790</v>
      </c>
      <c r="C14" s="18">
        <v>3665</v>
      </c>
      <c r="D14" s="18">
        <v>0</v>
      </c>
      <c r="E14" s="18">
        <v>3665</v>
      </c>
      <c r="F14" s="15">
        <f t="shared" si="3"/>
        <v>-790</v>
      </c>
      <c r="G14" s="15">
        <f t="shared" si="3"/>
        <v>0</v>
      </c>
      <c r="H14" s="20">
        <v>610.84</v>
      </c>
      <c r="I14" s="21">
        <v>370</v>
      </c>
      <c r="J14" s="21">
        <v>0</v>
      </c>
      <c r="K14" s="31">
        <f t="shared" si="0"/>
        <v>4455</v>
      </c>
      <c r="L14" s="26">
        <f t="shared" si="1"/>
        <v>420</v>
      </c>
      <c r="M14" s="25">
        <f t="shared" si="2"/>
        <v>3665</v>
      </c>
    </row>
    <row r="15" spans="1:14" x14ac:dyDescent="0.3">
      <c r="A15" s="36">
        <v>45882</v>
      </c>
      <c r="B15" s="18">
        <v>125</v>
      </c>
      <c r="C15" s="18">
        <v>1970</v>
      </c>
      <c r="D15" s="18">
        <v>0</v>
      </c>
      <c r="E15" s="18">
        <v>1970</v>
      </c>
      <c r="F15" s="15">
        <f t="shared" si="3"/>
        <v>-125</v>
      </c>
      <c r="G15" s="15">
        <f t="shared" si="3"/>
        <v>0</v>
      </c>
      <c r="H15" s="20">
        <v>328.33</v>
      </c>
      <c r="I15" s="21">
        <v>300</v>
      </c>
      <c r="J15" s="21">
        <v>450</v>
      </c>
      <c r="K15" s="31">
        <f t="shared" si="0"/>
        <v>2095</v>
      </c>
      <c r="L15" s="26">
        <f t="shared" si="1"/>
        <v>-175</v>
      </c>
      <c r="M15" s="25">
        <f t="shared" si="2"/>
        <v>1520</v>
      </c>
    </row>
    <row r="16" spans="1:14" x14ac:dyDescent="0.3">
      <c r="A16" s="36">
        <v>45883</v>
      </c>
      <c r="B16" s="18">
        <v>795</v>
      </c>
      <c r="C16" s="18">
        <v>3360</v>
      </c>
      <c r="D16" s="18">
        <v>0</v>
      </c>
      <c r="E16" s="18">
        <v>3360</v>
      </c>
      <c r="F16" s="15">
        <f t="shared" si="3"/>
        <v>-795</v>
      </c>
      <c r="G16" s="15">
        <f t="shared" si="3"/>
        <v>0</v>
      </c>
      <c r="H16" s="20">
        <v>559.99</v>
      </c>
      <c r="I16" s="21">
        <v>300</v>
      </c>
      <c r="J16" s="21">
        <v>7600</v>
      </c>
      <c r="K16" s="31">
        <f t="shared" si="0"/>
        <v>4155</v>
      </c>
      <c r="L16" s="26">
        <f t="shared" si="1"/>
        <v>495</v>
      </c>
      <c r="M16" s="25">
        <f t="shared" si="2"/>
        <v>-4240</v>
      </c>
    </row>
    <row r="17" spans="1:14" x14ac:dyDescent="0.3">
      <c r="A17" s="36">
        <v>45884</v>
      </c>
      <c r="B17" s="18">
        <v>700</v>
      </c>
      <c r="C17" s="18">
        <v>2730</v>
      </c>
      <c r="D17" s="18">
        <v>0</v>
      </c>
      <c r="E17" s="18">
        <v>2730</v>
      </c>
      <c r="F17" s="15">
        <f t="shared" si="3"/>
        <v>-700</v>
      </c>
      <c r="G17" s="15">
        <f t="shared" si="3"/>
        <v>0</v>
      </c>
      <c r="H17" s="20">
        <v>393.34</v>
      </c>
      <c r="I17" s="21">
        <v>220</v>
      </c>
      <c r="J17" s="21">
        <v>0</v>
      </c>
      <c r="K17" s="31">
        <f t="shared" si="0"/>
        <v>3430</v>
      </c>
      <c r="L17" s="26">
        <f t="shared" si="1"/>
        <v>480</v>
      </c>
      <c r="M17" s="25">
        <f t="shared" si="2"/>
        <v>2730</v>
      </c>
    </row>
    <row r="18" spans="1:14" x14ac:dyDescent="0.3">
      <c r="A18" s="36">
        <v>45885</v>
      </c>
      <c r="B18" s="18">
        <v>2650</v>
      </c>
      <c r="C18" s="18">
        <v>3685</v>
      </c>
      <c r="D18" s="18">
        <v>0</v>
      </c>
      <c r="E18" s="18">
        <v>3685</v>
      </c>
      <c r="F18" s="15">
        <f t="shared" si="3"/>
        <v>-2650</v>
      </c>
      <c r="G18" s="15">
        <f t="shared" si="3"/>
        <v>0</v>
      </c>
      <c r="H18" s="20">
        <v>635.01</v>
      </c>
      <c r="I18" s="21">
        <v>180</v>
      </c>
      <c r="J18" s="21">
        <v>0</v>
      </c>
      <c r="K18" s="31">
        <f t="shared" si="0"/>
        <v>6335</v>
      </c>
      <c r="L18" s="26">
        <f t="shared" si="1"/>
        <v>2470</v>
      </c>
      <c r="M18" s="25">
        <f t="shared" si="2"/>
        <v>3685</v>
      </c>
    </row>
    <row r="19" spans="1:14" x14ac:dyDescent="0.3">
      <c r="A19" s="36">
        <v>45886</v>
      </c>
      <c r="B19" s="18">
        <v>1050</v>
      </c>
      <c r="C19" s="18">
        <v>3650</v>
      </c>
      <c r="D19" s="18">
        <v>0</v>
      </c>
      <c r="E19" s="18">
        <v>3650</v>
      </c>
      <c r="F19" s="15">
        <f t="shared" si="3"/>
        <v>-1050</v>
      </c>
      <c r="G19" s="15">
        <f t="shared" si="3"/>
        <v>0</v>
      </c>
      <c r="H19" s="20">
        <v>508.32</v>
      </c>
      <c r="I19" s="21">
        <v>495</v>
      </c>
      <c r="J19" s="21">
        <v>0</v>
      </c>
      <c r="K19" s="31">
        <f t="shared" si="0"/>
        <v>4700</v>
      </c>
      <c r="L19" s="26">
        <f t="shared" si="1"/>
        <v>555</v>
      </c>
      <c r="M19" s="25">
        <f t="shared" si="2"/>
        <v>3650</v>
      </c>
    </row>
    <row r="20" spans="1:14" x14ac:dyDescent="0.3">
      <c r="A20" s="36">
        <v>45887</v>
      </c>
      <c r="B20" s="18">
        <v>1400</v>
      </c>
      <c r="C20" s="18">
        <v>3900</v>
      </c>
      <c r="D20" s="18">
        <v>0</v>
      </c>
      <c r="E20" s="18">
        <v>3900</v>
      </c>
      <c r="F20" s="15">
        <f t="shared" si="3"/>
        <v>-1400</v>
      </c>
      <c r="G20" s="15">
        <f t="shared" si="3"/>
        <v>0</v>
      </c>
      <c r="H20" s="20">
        <v>605</v>
      </c>
      <c r="I20" s="21">
        <v>550</v>
      </c>
      <c r="J20" s="21">
        <v>8020</v>
      </c>
      <c r="K20" s="31">
        <f t="shared" si="0"/>
        <v>5300</v>
      </c>
      <c r="L20" s="26">
        <f t="shared" si="1"/>
        <v>850</v>
      </c>
      <c r="M20" s="25">
        <f t="shared" si="2"/>
        <v>-4120</v>
      </c>
    </row>
    <row r="21" spans="1:14" x14ac:dyDescent="0.3">
      <c r="A21" s="36">
        <v>45888</v>
      </c>
      <c r="B21" s="18">
        <v>500</v>
      </c>
      <c r="C21" s="18">
        <v>5500</v>
      </c>
      <c r="D21" s="18">
        <v>0</v>
      </c>
      <c r="E21" s="18">
        <v>5500</v>
      </c>
      <c r="F21" s="15">
        <f t="shared" si="3"/>
        <v>-500</v>
      </c>
      <c r="G21" s="15">
        <f t="shared" si="3"/>
        <v>0</v>
      </c>
      <c r="H21" s="20">
        <v>793.33</v>
      </c>
      <c r="I21" s="21">
        <v>1705</v>
      </c>
      <c r="J21" s="21">
        <v>0</v>
      </c>
      <c r="K21" s="31">
        <f t="shared" si="0"/>
        <v>6000</v>
      </c>
      <c r="L21" s="26">
        <f t="shared" si="1"/>
        <v>-1205</v>
      </c>
      <c r="M21" s="25">
        <f t="shared" si="2"/>
        <v>5500</v>
      </c>
    </row>
    <row r="22" spans="1:14" x14ac:dyDescent="0.3">
      <c r="A22" s="36">
        <v>45889</v>
      </c>
      <c r="B22" s="18">
        <v>2345</v>
      </c>
      <c r="C22" s="18">
        <v>1390</v>
      </c>
      <c r="D22" s="18">
        <v>0</v>
      </c>
      <c r="E22" s="18">
        <v>1390</v>
      </c>
      <c r="F22" s="15">
        <f t="shared" si="3"/>
        <v>-2345</v>
      </c>
      <c r="G22" s="15">
        <f t="shared" si="3"/>
        <v>0</v>
      </c>
      <c r="H22" s="20">
        <v>231.66</v>
      </c>
      <c r="I22" s="21">
        <v>865</v>
      </c>
      <c r="J22" s="21">
        <v>920</v>
      </c>
      <c r="K22" s="31">
        <f t="shared" si="0"/>
        <v>3735</v>
      </c>
      <c r="L22" s="26">
        <f t="shared" si="1"/>
        <v>1480</v>
      </c>
      <c r="M22" s="25">
        <f t="shared" si="2"/>
        <v>470</v>
      </c>
    </row>
    <row r="23" spans="1:14" x14ac:dyDescent="0.3">
      <c r="A23" s="36">
        <v>45890</v>
      </c>
      <c r="B23" s="18">
        <v>1150</v>
      </c>
      <c r="C23" s="18">
        <v>2130</v>
      </c>
      <c r="D23" s="18">
        <v>0</v>
      </c>
      <c r="E23" s="18">
        <v>2130</v>
      </c>
      <c r="F23" s="15">
        <f t="shared" si="3"/>
        <v>-1150</v>
      </c>
      <c r="G23" s="15">
        <f t="shared" si="3"/>
        <v>0</v>
      </c>
      <c r="H23" s="20">
        <v>355</v>
      </c>
      <c r="I23" s="21">
        <v>1150</v>
      </c>
      <c r="J23" s="21">
        <v>160</v>
      </c>
      <c r="K23" s="31">
        <f t="shared" si="0"/>
        <v>3280</v>
      </c>
      <c r="L23" s="26">
        <f t="shared" si="1"/>
        <v>0</v>
      </c>
      <c r="M23" s="25">
        <f t="shared" si="2"/>
        <v>1970</v>
      </c>
    </row>
    <row r="24" spans="1:14" x14ac:dyDescent="0.3">
      <c r="A24" s="36">
        <v>45891</v>
      </c>
      <c r="B24" s="18">
        <v>650</v>
      </c>
      <c r="C24" s="18">
        <v>1730</v>
      </c>
      <c r="D24" s="18">
        <v>0</v>
      </c>
      <c r="E24" s="18">
        <v>1730</v>
      </c>
      <c r="F24" s="15">
        <f t="shared" si="3"/>
        <v>-650</v>
      </c>
      <c r="G24" s="15">
        <f t="shared" si="3"/>
        <v>0</v>
      </c>
      <c r="H24" s="20">
        <v>288.33</v>
      </c>
      <c r="I24" s="21">
        <v>880</v>
      </c>
      <c r="J24" s="21">
        <v>4470</v>
      </c>
      <c r="K24" s="31">
        <f t="shared" si="0"/>
        <v>2380</v>
      </c>
      <c r="L24" s="26">
        <f t="shared" si="1"/>
        <v>-230</v>
      </c>
      <c r="M24" s="25">
        <f t="shared" si="2"/>
        <v>-2740</v>
      </c>
    </row>
    <row r="25" spans="1:14" x14ac:dyDescent="0.3">
      <c r="A25" s="36">
        <v>45892</v>
      </c>
      <c r="B25" s="18">
        <v>900</v>
      </c>
      <c r="C25" s="18">
        <v>3170</v>
      </c>
      <c r="D25" s="18">
        <v>0</v>
      </c>
      <c r="E25" s="18">
        <v>3170</v>
      </c>
      <c r="F25" s="15">
        <f t="shared" si="3"/>
        <v>-900</v>
      </c>
      <c r="G25" s="15">
        <f t="shared" si="3"/>
        <v>0</v>
      </c>
      <c r="H25" s="20">
        <v>528.34</v>
      </c>
      <c r="I25" s="21">
        <v>0</v>
      </c>
      <c r="J25" s="21">
        <v>2900</v>
      </c>
      <c r="K25" s="31">
        <f t="shared" si="0"/>
        <v>4070</v>
      </c>
      <c r="L25" s="26">
        <f t="shared" si="1"/>
        <v>900</v>
      </c>
      <c r="M25" s="25">
        <f t="shared" si="2"/>
        <v>270</v>
      </c>
      <c r="N25" t="s">
        <v>18</v>
      </c>
    </row>
    <row r="26" spans="1:14" x14ac:dyDescent="0.3">
      <c r="A26" s="36">
        <v>45893</v>
      </c>
      <c r="B26" s="18">
        <v>50</v>
      </c>
      <c r="C26" s="18">
        <v>2345</v>
      </c>
      <c r="D26" s="18">
        <v>0</v>
      </c>
      <c r="E26" s="18">
        <v>2345</v>
      </c>
      <c r="F26" s="15">
        <f t="shared" si="3"/>
        <v>-50</v>
      </c>
      <c r="G26" s="15">
        <f t="shared" si="3"/>
        <v>0</v>
      </c>
      <c r="H26" s="20">
        <v>407.5</v>
      </c>
      <c r="I26" s="21">
        <v>420</v>
      </c>
      <c r="J26" s="21">
        <v>3562</v>
      </c>
      <c r="K26" s="31">
        <f t="shared" si="0"/>
        <v>2395</v>
      </c>
      <c r="L26" s="26">
        <f t="shared" si="1"/>
        <v>-370</v>
      </c>
      <c r="M26" s="25">
        <f t="shared" si="2"/>
        <v>-1217</v>
      </c>
    </row>
    <row r="27" spans="1:14" x14ac:dyDescent="0.3">
      <c r="A27" s="36">
        <v>45894</v>
      </c>
      <c r="B27" s="18">
        <v>900</v>
      </c>
      <c r="C27" s="18">
        <v>1360</v>
      </c>
      <c r="D27" s="18">
        <v>0</v>
      </c>
      <c r="E27" s="18">
        <v>1360</v>
      </c>
      <c r="F27" s="15">
        <f t="shared" si="3"/>
        <v>-900</v>
      </c>
      <c r="G27" s="15">
        <f t="shared" si="3"/>
        <v>0</v>
      </c>
      <c r="H27" s="20">
        <v>226.66</v>
      </c>
      <c r="I27" s="21">
        <v>90</v>
      </c>
      <c r="J27" s="21">
        <v>2755</v>
      </c>
      <c r="K27" s="31">
        <f t="shared" si="0"/>
        <v>2260</v>
      </c>
      <c r="L27" s="26">
        <f t="shared" si="1"/>
        <v>810</v>
      </c>
      <c r="M27" s="25">
        <f t="shared" si="2"/>
        <v>-1395</v>
      </c>
    </row>
    <row r="28" spans="1:14" x14ac:dyDescent="0.3">
      <c r="A28" s="36">
        <v>45895</v>
      </c>
      <c r="B28" s="18">
        <v>530</v>
      </c>
      <c r="C28" s="18">
        <v>5450</v>
      </c>
      <c r="D28" s="18">
        <v>0</v>
      </c>
      <c r="E28" s="18">
        <v>5450</v>
      </c>
      <c r="F28" s="15">
        <f t="shared" si="3"/>
        <v>-530</v>
      </c>
      <c r="G28" s="15">
        <f t="shared" si="3"/>
        <v>0</v>
      </c>
      <c r="H28" s="20">
        <v>908.34</v>
      </c>
      <c r="I28" s="21">
        <v>80</v>
      </c>
      <c r="J28" s="21">
        <v>5400</v>
      </c>
      <c r="K28" s="31">
        <f t="shared" si="0"/>
        <v>5980</v>
      </c>
      <c r="L28" s="26">
        <f t="shared" si="1"/>
        <v>450</v>
      </c>
      <c r="M28" s="25">
        <f t="shared" si="2"/>
        <v>50</v>
      </c>
    </row>
    <row r="29" spans="1:14" x14ac:dyDescent="0.3">
      <c r="A29" s="36">
        <v>45896</v>
      </c>
      <c r="B29" s="18">
        <v>600</v>
      </c>
      <c r="C29" s="18">
        <v>0</v>
      </c>
      <c r="D29" s="18">
        <v>0</v>
      </c>
      <c r="E29" s="18">
        <v>0</v>
      </c>
      <c r="F29" s="15">
        <f t="shared" si="3"/>
        <v>-600</v>
      </c>
      <c r="G29" s="15">
        <f t="shared" si="3"/>
        <v>0</v>
      </c>
      <c r="H29" s="20">
        <v>0</v>
      </c>
      <c r="I29" s="21">
        <v>730</v>
      </c>
      <c r="J29" s="21">
        <v>7260</v>
      </c>
      <c r="K29" s="31">
        <f t="shared" si="0"/>
        <v>600</v>
      </c>
      <c r="L29" s="26">
        <f t="shared" si="1"/>
        <v>-130</v>
      </c>
      <c r="M29" s="25">
        <f t="shared" si="2"/>
        <v>-7260</v>
      </c>
    </row>
    <row r="30" spans="1:14" x14ac:dyDescent="0.3">
      <c r="A30" s="36">
        <v>45897</v>
      </c>
      <c r="B30" s="18">
        <v>1040</v>
      </c>
      <c r="C30" s="18">
        <v>4400</v>
      </c>
      <c r="D30" s="18">
        <v>0</v>
      </c>
      <c r="E30" s="18">
        <v>4400</v>
      </c>
      <c r="F30" s="15">
        <f t="shared" si="3"/>
        <v>-1040</v>
      </c>
      <c r="G30" s="15">
        <f t="shared" si="3"/>
        <v>0</v>
      </c>
      <c r="H30" s="20">
        <v>733.33</v>
      </c>
      <c r="I30" s="21">
        <v>0</v>
      </c>
      <c r="J30" s="21">
        <v>650</v>
      </c>
      <c r="K30" s="31">
        <f t="shared" si="0"/>
        <v>5440</v>
      </c>
      <c r="L30" s="26">
        <f t="shared" si="1"/>
        <v>1040</v>
      </c>
      <c r="M30" s="25">
        <f t="shared" si="2"/>
        <v>3750</v>
      </c>
    </row>
    <row r="31" spans="1:14" x14ac:dyDescent="0.3">
      <c r="A31" s="36">
        <v>45898</v>
      </c>
      <c r="B31" s="18">
        <v>0</v>
      </c>
      <c r="C31" s="18">
        <v>1950</v>
      </c>
      <c r="D31" s="18">
        <v>0</v>
      </c>
      <c r="E31" s="18">
        <v>1950</v>
      </c>
      <c r="F31" s="15">
        <f t="shared" si="3"/>
        <v>0</v>
      </c>
      <c r="G31" s="15">
        <f t="shared" si="3"/>
        <v>0</v>
      </c>
      <c r="H31" s="20">
        <v>325</v>
      </c>
      <c r="I31" s="21">
        <v>425</v>
      </c>
      <c r="J31" s="21">
        <v>600</v>
      </c>
      <c r="K31" s="31">
        <f t="shared" si="0"/>
        <v>1950</v>
      </c>
      <c r="L31" s="26">
        <f t="shared" si="1"/>
        <v>-425</v>
      </c>
      <c r="M31" s="25">
        <f t="shared" si="2"/>
        <v>1350</v>
      </c>
    </row>
    <row r="32" spans="1:14" x14ac:dyDescent="0.3">
      <c r="A32" s="36">
        <v>45899</v>
      </c>
      <c r="B32" s="18">
        <v>180</v>
      </c>
      <c r="C32" s="18">
        <v>2720</v>
      </c>
      <c r="D32" s="18">
        <v>0</v>
      </c>
      <c r="E32" s="18">
        <v>2720</v>
      </c>
      <c r="F32" s="15">
        <f t="shared" si="3"/>
        <v>-180</v>
      </c>
      <c r="G32" s="15">
        <f t="shared" si="3"/>
        <v>0</v>
      </c>
      <c r="H32" s="20">
        <v>453.34</v>
      </c>
      <c r="I32" s="21">
        <v>0</v>
      </c>
      <c r="J32" s="21">
        <v>490</v>
      </c>
      <c r="K32" s="31">
        <f t="shared" si="0"/>
        <v>2900</v>
      </c>
      <c r="L32" s="26">
        <f t="shared" si="1"/>
        <v>180</v>
      </c>
      <c r="M32" s="25">
        <f t="shared" si="2"/>
        <v>2230</v>
      </c>
    </row>
    <row r="33" spans="1:14" x14ac:dyDescent="0.3">
      <c r="A33" s="36">
        <v>45900</v>
      </c>
      <c r="B33" s="18">
        <v>200</v>
      </c>
      <c r="C33" s="18">
        <v>810</v>
      </c>
      <c r="D33" s="18">
        <v>0</v>
      </c>
      <c r="E33" s="18">
        <v>810</v>
      </c>
      <c r="F33" s="15">
        <f>SUM(D33-B33)</f>
        <v>-200</v>
      </c>
      <c r="G33" s="15">
        <f>SUM(E33-C33)</f>
        <v>0</v>
      </c>
      <c r="H33" s="20">
        <v>135</v>
      </c>
      <c r="I33" s="21">
        <v>0</v>
      </c>
      <c r="J33" s="33">
        <v>0</v>
      </c>
      <c r="K33" s="31">
        <f t="shared" si="0"/>
        <v>1010</v>
      </c>
      <c r="L33" s="26">
        <f t="shared" si="1"/>
        <v>200</v>
      </c>
      <c r="M33" s="25">
        <f t="shared" si="2"/>
        <v>810</v>
      </c>
    </row>
    <row r="34" spans="1:14" s="8" customFormat="1" ht="27.6" customHeight="1" x14ac:dyDescent="0.35">
      <c r="A34" s="24" t="s">
        <v>4</v>
      </c>
      <c r="B34" s="22">
        <f>SUM(B3:B33)</f>
        <v>22515</v>
      </c>
      <c r="C34" s="22">
        <f>SUM(C3:C33)</f>
        <v>93605</v>
      </c>
      <c r="D34" s="22"/>
      <c r="E34" s="22">
        <f t="shared" ref="E34:M34" si="4">SUM(E3:E33)</f>
        <v>92465</v>
      </c>
      <c r="F34" s="15">
        <f t="shared" si="4"/>
        <v>-22515</v>
      </c>
      <c r="G34" s="23">
        <f t="shared" si="4"/>
        <v>-1140</v>
      </c>
      <c r="H34" s="24" t="s">
        <v>17</v>
      </c>
      <c r="I34" s="24">
        <f t="shared" si="4"/>
        <v>16615</v>
      </c>
      <c r="J34" s="24">
        <f t="shared" si="4"/>
        <v>78384</v>
      </c>
      <c r="K34" s="32">
        <f t="shared" si="4"/>
        <v>116120</v>
      </c>
      <c r="L34" s="27">
        <f t="shared" si="4"/>
        <v>5900</v>
      </c>
      <c r="M34" s="27">
        <f t="shared" si="4"/>
        <v>14081</v>
      </c>
      <c r="N34" s="13"/>
    </row>
    <row r="35" spans="1:14" x14ac:dyDescent="0.3">
      <c r="K35" s="34"/>
    </row>
    <row r="37" spans="1:14" ht="18" x14ac:dyDescent="0.3">
      <c r="G37" s="51" t="s">
        <v>14</v>
      </c>
      <c r="H37" s="51"/>
      <c r="I37" s="12">
        <f>SUM(K3:K33)</f>
        <v>116120</v>
      </c>
    </row>
    <row r="38" spans="1:14" ht="18" x14ac:dyDescent="0.3">
      <c r="G38" s="51" t="s">
        <v>16</v>
      </c>
      <c r="H38" s="51"/>
      <c r="I38" s="12">
        <f>SUM(+I34+J34)</f>
        <v>94999</v>
      </c>
    </row>
    <row r="39" spans="1:14" ht="18" x14ac:dyDescent="0.3">
      <c r="G39" s="51" t="s">
        <v>15</v>
      </c>
      <c r="H39" s="51"/>
      <c r="I39" s="12">
        <f>SUM(L34+M34)</f>
        <v>19981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9"/>
  <sheetViews>
    <sheetView topLeftCell="A17" workbookViewId="0">
      <selection activeCell="L51" sqref="L51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35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6">
        <v>45839</v>
      </c>
      <c r="B3" s="14">
        <v>850</v>
      </c>
      <c r="C3" s="14">
        <v>2315</v>
      </c>
      <c r="D3" s="14">
        <v>0</v>
      </c>
      <c r="E3" s="14">
        <v>2315</v>
      </c>
      <c r="F3" s="15">
        <f>SUM(D3-B3)</f>
        <v>-850</v>
      </c>
      <c r="G3" s="15">
        <f>SUM(E3-C3)</f>
        <v>0</v>
      </c>
      <c r="H3" s="16">
        <v>362.49</v>
      </c>
      <c r="I3" s="17">
        <v>700</v>
      </c>
      <c r="J3" s="17">
        <v>4530</v>
      </c>
      <c r="K3" s="31">
        <f>SUM(B3:C3)</f>
        <v>3165</v>
      </c>
      <c r="L3" s="25">
        <f>SUM(B3-I3)</f>
        <v>150</v>
      </c>
      <c r="M3" s="25">
        <f>SUM(E3-J3)</f>
        <v>-2215</v>
      </c>
    </row>
    <row r="4" spans="1:14" x14ac:dyDescent="0.3">
      <c r="A4" s="36">
        <v>45840</v>
      </c>
      <c r="B4" s="18">
        <v>430</v>
      </c>
      <c r="C4" s="18">
        <v>1460</v>
      </c>
      <c r="D4" s="18">
        <v>0</v>
      </c>
      <c r="E4" s="18">
        <v>1460</v>
      </c>
      <c r="F4" s="15">
        <f>SUM(D4-B4)</f>
        <v>-430</v>
      </c>
      <c r="G4" s="15">
        <f>SUM(E4-C4)</f>
        <v>0</v>
      </c>
      <c r="H4" s="20">
        <v>243.33</v>
      </c>
      <c r="I4" s="21">
        <v>350</v>
      </c>
      <c r="J4" s="21">
        <v>220</v>
      </c>
      <c r="K4" s="31">
        <f t="shared" ref="K4:K33" si="0">SUM(B4:C4)</f>
        <v>1890</v>
      </c>
      <c r="L4" s="26">
        <f t="shared" ref="L4:L33" si="1">SUM(B4-I4)</f>
        <v>80</v>
      </c>
      <c r="M4" s="25">
        <f t="shared" ref="M4:M33" si="2">SUM(E4-J4)</f>
        <v>1240</v>
      </c>
    </row>
    <row r="5" spans="1:14" x14ac:dyDescent="0.3">
      <c r="A5" s="36">
        <v>45841</v>
      </c>
      <c r="B5" s="18">
        <v>1160</v>
      </c>
      <c r="C5" s="18">
        <v>3810</v>
      </c>
      <c r="D5" s="18">
        <v>0</v>
      </c>
      <c r="E5" s="18">
        <v>3810</v>
      </c>
      <c r="F5" s="15">
        <f t="shared" ref="F5:F32" si="3">SUM(D5-B5)</f>
        <v>-1160</v>
      </c>
      <c r="G5" s="15">
        <f t="shared" ref="G5:G32" si="4">SUM(E5-C5)</f>
        <v>0</v>
      </c>
      <c r="H5" s="20">
        <v>640</v>
      </c>
      <c r="I5" s="21">
        <v>50</v>
      </c>
      <c r="J5" s="21">
        <v>150</v>
      </c>
      <c r="K5" s="31">
        <f t="shared" si="0"/>
        <v>4970</v>
      </c>
      <c r="L5" s="26">
        <f t="shared" si="1"/>
        <v>1110</v>
      </c>
      <c r="M5" s="25">
        <f t="shared" si="2"/>
        <v>3660</v>
      </c>
    </row>
    <row r="6" spans="1:14" x14ac:dyDescent="0.3">
      <c r="A6" s="36">
        <v>45842</v>
      </c>
      <c r="B6" s="18">
        <v>800</v>
      </c>
      <c r="C6" s="18">
        <v>2630</v>
      </c>
      <c r="D6" s="18">
        <v>0</v>
      </c>
      <c r="E6" s="18">
        <v>2630</v>
      </c>
      <c r="F6" s="15">
        <f t="shared" si="3"/>
        <v>-800</v>
      </c>
      <c r="G6" s="15">
        <f t="shared" si="4"/>
        <v>0</v>
      </c>
      <c r="H6" s="20">
        <v>438.34</v>
      </c>
      <c r="I6" s="21">
        <v>360</v>
      </c>
      <c r="J6" s="21">
        <v>0</v>
      </c>
      <c r="K6" s="31">
        <f t="shared" si="0"/>
        <v>3430</v>
      </c>
      <c r="L6" s="26">
        <f t="shared" si="1"/>
        <v>440</v>
      </c>
      <c r="M6" s="25">
        <f t="shared" si="2"/>
        <v>2630</v>
      </c>
    </row>
    <row r="7" spans="1:14" x14ac:dyDescent="0.3">
      <c r="A7" s="36">
        <v>45843</v>
      </c>
      <c r="B7" s="18">
        <v>200</v>
      </c>
      <c r="C7" s="18">
        <v>550</v>
      </c>
      <c r="D7" s="18">
        <v>0</v>
      </c>
      <c r="E7" s="18">
        <v>550</v>
      </c>
      <c r="F7" s="15">
        <f t="shared" si="3"/>
        <v>-200</v>
      </c>
      <c r="G7" s="15">
        <f t="shared" si="4"/>
        <v>0</v>
      </c>
      <c r="H7" s="20">
        <v>91.67</v>
      </c>
      <c r="I7" s="21">
        <v>300</v>
      </c>
      <c r="J7" s="21">
        <v>0</v>
      </c>
      <c r="K7" s="31">
        <f t="shared" si="0"/>
        <v>750</v>
      </c>
      <c r="L7" s="26">
        <f t="shared" si="1"/>
        <v>-100</v>
      </c>
      <c r="M7" s="25">
        <f t="shared" si="2"/>
        <v>550</v>
      </c>
    </row>
    <row r="8" spans="1:14" x14ac:dyDescent="0.3">
      <c r="A8" s="36">
        <v>45844</v>
      </c>
      <c r="B8" s="18">
        <v>150</v>
      </c>
      <c r="C8" s="18">
        <v>1100</v>
      </c>
      <c r="D8" s="18">
        <v>0</v>
      </c>
      <c r="E8" s="18">
        <v>1100</v>
      </c>
      <c r="F8" s="15">
        <f t="shared" si="3"/>
        <v>-150</v>
      </c>
      <c r="G8" s="15">
        <f t="shared" si="4"/>
        <v>0</v>
      </c>
      <c r="H8" s="20">
        <v>187.5</v>
      </c>
      <c r="I8" s="21">
        <v>500</v>
      </c>
      <c r="J8" s="21">
        <v>0</v>
      </c>
      <c r="K8" s="31">
        <f t="shared" si="0"/>
        <v>1250</v>
      </c>
      <c r="L8" s="26">
        <f t="shared" si="1"/>
        <v>-350</v>
      </c>
      <c r="M8" s="25">
        <f t="shared" si="2"/>
        <v>1100</v>
      </c>
    </row>
    <row r="9" spans="1:14" x14ac:dyDescent="0.3">
      <c r="A9" s="36">
        <v>45845</v>
      </c>
      <c r="B9" s="18">
        <v>200</v>
      </c>
      <c r="C9" s="18">
        <v>4370</v>
      </c>
      <c r="D9" s="18">
        <v>0</v>
      </c>
      <c r="E9" s="18">
        <v>4370</v>
      </c>
      <c r="F9" s="15">
        <f t="shared" si="3"/>
        <v>-200</v>
      </c>
      <c r="G9" s="15">
        <f t="shared" si="4"/>
        <v>0</v>
      </c>
      <c r="H9" s="20">
        <v>728.34</v>
      </c>
      <c r="I9" s="21">
        <v>300</v>
      </c>
      <c r="J9" s="21">
        <v>250</v>
      </c>
      <c r="K9" s="31">
        <f t="shared" si="0"/>
        <v>4570</v>
      </c>
      <c r="L9" s="26">
        <f t="shared" si="1"/>
        <v>-100</v>
      </c>
      <c r="M9" s="25">
        <f t="shared" si="2"/>
        <v>4120</v>
      </c>
    </row>
    <row r="10" spans="1:14" x14ac:dyDescent="0.3">
      <c r="A10" s="36">
        <v>45846</v>
      </c>
      <c r="B10" s="18">
        <v>0</v>
      </c>
      <c r="C10" s="18">
        <v>2360</v>
      </c>
      <c r="D10" s="18">
        <v>40</v>
      </c>
      <c r="E10" s="18">
        <v>2160</v>
      </c>
      <c r="F10" s="15">
        <f t="shared" si="3"/>
        <v>40</v>
      </c>
      <c r="G10" s="15">
        <f t="shared" si="4"/>
        <v>-200</v>
      </c>
      <c r="H10" s="20">
        <v>366.67</v>
      </c>
      <c r="I10" s="21">
        <v>460</v>
      </c>
      <c r="J10" s="21">
        <v>0</v>
      </c>
      <c r="K10" s="31">
        <f t="shared" si="0"/>
        <v>2360</v>
      </c>
      <c r="L10" s="26">
        <f t="shared" si="1"/>
        <v>-460</v>
      </c>
      <c r="M10" s="25">
        <f t="shared" si="2"/>
        <v>2160</v>
      </c>
    </row>
    <row r="11" spans="1:14" x14ac:dyDescent="0.3">
      <c r="A11" s="36">
        <v>45847</v>
      </c>
      <c r="B11" s="18">
        <v>500</v>
      </c>
      <c r="C11" s="18">
        <f>2170+800</f>
        <v>2970</v>
      </c>
      <c r="D11" s="18">
        <v>0</v>
      </c>
      <c r="E11" s="18">
        <v>2170</v>
      </c>
      <c r="F11" s="15">
        <f t="shared" si="3"/>
        <v>-500</v>
      </c>
      <c r="G11" s="15">
        <f t="shared" si="4"/>
        <v>-800</v>
      </c>
      <c r="H11" s="20">
        <v>361.67</v>
      </c>
      <c r="I11" s="21">
        <f>280+400+200</f>
        <v>880</v>
      </c>
      <c r="J11" s="21">
        <v>0</v>
      </c>
      <c r="K11" s="31">
        <f t="shared" si="0"/>
        <v>3470</v>
      </c>
      <c r="L11" s="26">
        <f t="shared" si="1"/>
        <v>-380</v>
      </c>
      <c r="M11" s="25">
        <f t="shared" si="2"/>
        <v>2170</v>
      </c>
    </row>
    <row r="12" spans="1:14" x14ac:dyDescent="0.3">
      <c r="A12" s="36">
        <v>45848</v>
      </c>
      <c r="B12" s="18">
        <v>1290</v>
      </c>
      <c r="C12" s="18">
        <f>1100+570</f>
        <v>1670</v>
      </c>
      <c r="D12" s="18">
        <v>0</v>
      </c>
      <c r="E12" s="18">
        <v>1100</v>
      </c>
      <c r="F12" s="15">
        <f t="shared" si="3"/>
        <v>-1290</v>
      </c>
      <c r="G12" s="15">
        <f t="shared" si="4"/>
        <v>-570</v>
      </c>
      <c r="H12" s="20">
        <v>183.33</v>
      </c>
      <c r="I12" s="21">
        <v>1200</v>
      </c>
      <c r="J12" s="21">
        <f>1615+735+19310</f>
        <v>21660</v>
      </c>
      <c r="K12" s="31">
        <f t="shared" si="0"/>
        <v>2960</v>
      </c>
      <c r="L12" s="26">
        <f t="shared" si="1"/>
        <v>90</v>
      </c>
      <c r="M12" s="25">
        <f t="shared" si="2"/>
        <v>-20560</v>
      </c>
      <c r="N12" t="s">
        <v>17</v>
      </c>
    </row>
    <row r="13" spans="1:14" x14ac:dyDescent="0.3">
      <c r="A13" s="36">
        <v>45849</v>
      </c>
      <c r="B13" s="18">
        <v>650</v>
      </c>
      <c r="C13" s="18">
        <f>1515+570</f>
        <v>2085</v>
      </c>
      <c r="D13" s="18">
        <v>85</v>
      </c>
      <c r="E13" s="18">
        <v>1515</v>
      </c>
      <c r="F13" s="15">
        <f t="shared" si="3"/>
        <v>-565</v>
      </c>
      <c r="G13" s="15">
        <f t="shared" si="4"/>
        <v>-570</v>
      </c>
      <c r="H13" s="20">
        <v>252.5</v>
      </c>
      <c r="I13" s="21">
        <v>375</v>
      </c>
      <c r="J13" s="21">
        <v>0</v>
      </c>
      <c r="K13" s="31">
        <f t="shared" si="0"/>
        <v>2735</v>
      </c>
      <c r="L13" s="26">
        <f t="shared" si="1"/>
        <v>275</v>
      </c>
      <c r="M13" s="25">
        <f t="shared" si="2"/>
        <v>1515</v>
      </c>
    </row>
    <row r="14" spans="1:14" x14ac:dyDescent="0.3">
      <c r="A14" s="36">
        <v>45850</v>
      </c>
      <c r="B14" s="18">
        <v>250</v>
      </c>
      <c r="C14" s="18">
        <v>4325</v>
      </c>
      <c r="D14" s="18">
        <v>0</v>
      </c>
      <c r="E14" s="18">
        <v>4325</v>
      </c>
      <c r="F14" s="15">
        <f t="shared" si="3"/>
        <v>-250</v>
      </c>
      <c r="G14" s="15">
        <f t="shared" si="4"/>
        <v>0</v>
      </c>
      <c r="H14" s="20">
        <v>725.01</v>
      </c>
      <c r="I14" s="21">
        <v>180</v>
      </c>
      <c r="J14" s="21">
        <v>300</v>
      </c>
      <c r="K14" s="31">
        <f t="shared" si="0"/>
        <v>4575</v>
      </c>
      <c r="L14" s="26">
        <f t="shared" si="1"/>
        <v>70</v>
      </c>
      <c r="M14" s="25">
        <f t="shared" si="2"/>
        <v>4025</v>
      </c>
    </row>
    <row r="15" spans="1:14" x14ac:dyDescent="0.3">
      <c r="A15" s="36">
        <v>45851</v>
      </c>
      <c r="B15" s="18">
        <v>600</v>
      </c>
      <c r="C15" s="18">
        <v>1950</v>
      </c>
      <c r="D15" s="18">
        <v>0</v>
      </c>
      <c r="E15" s="18">
        <v>1950</v>
      </c>
      <c r="F15" s="15">
        <f t="shared" si="3"/>
        <v>-600</v>
      </c>
      <c r="G15" s="15">
        <f t="shared" si="4"/>
        <v>0</v>
      </c>
      <c r="H15" s="20">
        <v>325</v>
      </c>
      <c r="I15" s="21">
        <v>180</v>
      </c>
      <c r="J15" s="21">
        <v>0</v>
      </c>
      <c r="K15" s="31">
        <f t="shared" si="0"/>
        <v>2550</v>
      </c>
      <c r="L15" s="26">
        <f t="shared" si="1"/>
        <v>420</v>
      </c>
      <c r="M15" s="25">
        <f t="shared" si="2"/>
        <v>1950</v>
      </c>
    </row>
    <row r="16" spans="1:14" x14ac:dyDescent="0.3">
      <c r="A16" s="36">
        <v>45852</v>
      </c>
      <c r="B16" s="18">
        <v>230</v>
      </c>
      <c r="C16" s="18">
        <v>50</v>
      </c>
      <c r="D16" s="18">
        <v>0</v>
      </c>
      <c r="E16" s="18">
        <v>50</v>
      </c>
      <c r="F16" s="15">
        <f t="shared" si="3"/>
        <v>-230</v>
      </c>
      <c r="G16" s="15">
        <f t="shared" si="4"/>
        <v>0</v>
      </c>
      <c r="H16" s="20">
        <v>8.33</v>
      </c>
      <c r="I16" s="21">
        <f>1500+100+50</f>
        <v>1650</v>
      </c>
      <c r="J16" s="21">
        <f>620+7000</f>
        <v>7620</v>
      </c>
      <c r="K16" s="31">
        <f t="shared" si="0"/>
        <v>280</v>
      </c>
      <c r="L16" s="26">
        <f t="shared" si="1"/>
        <v>-1420</v>
      </c>
      <c r="M16" s="25">
        <f t="shared" si="2"/>
        <v>-7570</v>
      </c>
    </row>
    <row r="17" spans="1:14" x14ac:dyDescent="0.3">
      <c r="A17" s="36">
        <v>45853</v>
      </c>
      <c r="B17" s="18">
        <v>3700</v>
      </c>
      <c r="C17" s="18">
        <f>2825+820</f>
        <v>3645</v>
      </c>
      <c r="D17" s="18">
        <v>0</v>
      </c>
      <c r="E17" s="18">
        <v>2825</v>
      </c>
      <c r="F17" s="15">
        <f t="shared" si="3"/>
        <v>-3700</v>
      </c>
      <c r="G17" s="15">
        <f t="shared" si="4"/>
        <v>-820</v>
      </c>
      <c r="H17" s="20">
        <v>513.35</v>
      </c>
      <c r="I17" s="21">
        <v>0</v>
      </c>
      <c r="J17" s="21">
        <v>0</v>
      </c>
      <c r="K17" s="31">
        <f t="shared" si="0"/>
        <v>7345</v>
      </c>
      <c r="L17" s="26">
        <f t="shared" si="1"/>
        <v>3700</v>
      </c>
      <c r="M17" s="25">
        <f t="shared" si="2"/>
        <v>2825</v>
      </c>
    </row>
    <row r="18" spans="1:14" x14ac:dyDescent="0.3">
      <c r="A18" s="36">
        <v>45854</v>
      </c>
      <c r="B18" s="18">
        <v>400</v>
      </c>
      <c r="C18" s="18">
        <v>1470</v>
      </c>
      <c r="D18" s="18">
        <v>0</v>
      </c>
      <c r="E18" s="18">
        <v>1470</v>
      </c>
      <c r="F18" s="15">
        <f t="shared" si="3"/>
        <v>-400</v>
      </c>
      <c r="G18" s="15">
        <f t="shared" si="4"/>
        <v>0</v>
      </c>
      <c r="H18" s="20">
        <v>245</v>
      </c>
      <c r="I18" s="21">
        <f>55+450+100</f>
        <v>605</v>
      </c>
      <c r="J18" s="21">
        <v>4050</v>
      </c>
      <c r="K18" s="31">
        <f t="shared" si="0"/>
        <v>1870</v>
      </c>
      <c r="L18" s="26">
        <f t="shared" si="1"/>
        <v>-205</v>
      </c>
      <c r="M18" s="25">
        <f t="shared" si="2"/>
        <v>-2580</v>
      </c>
    </row>
    <row r="19" spans="1:14" x14ac:dyDescent="0.3">
      <c r="A19" s="36">
        <v>45855</v>
      </c>
      <c r="B19" s="18">
        <v>1450</v>
      </c>
      <c r="C19" s="18">
        <v>3460</v>
      </c>
      <c r="D19" s="18">
        <v>0</v>
      </c>
      <c r="E19" s="18">
        <v>3460</v>
      </c>
      <c r="F19" s="15">
        <f t="shared" si="3"/>
        <v>-1450</v>
      </c>
      <c r="G19" s="15">
        <f t="shared" si="4"/>
        <v>0</v>
      </c>
      <c r="H19" s="20">
        <v>346.66</v>
      </c>
      <c r="I19" s="21">
        <v>0</v>
      </c>
      <c r="J19" s="21">
        <v>250</v>
      </c>
      <c r="K19" s="31">
        <f t="shared" si="0"/>
        <v>4910</v>
      </c>
      <c r="L19" s="26">
        <f t="shared" si="1"/>
        <v>1450</v>
      </c>
      <c r="M19" s="25">
        <f t="shared" si="2"/>
        <v>3210</v>
      </c>
    </row>
    <row r="20" spans="1:14" x14ac:dyDescent="0.3">
      <c r="A20" s="36">
        <v>45856</v>
      </c>
      <c r="B20" s="18">
        <v>630</v>
      </c>
      <c r="C20" s="18">
        <v>7775</v>
      </c>
      <c r="D20" s="18">
        <v>0</v>
      </c>
      <c r="E20" s="18">
        <v>7775</v>
      </c>
      <c r="F20" s="15">
        <f t="shared" si="3"/>
        <v>-630</v>
      </c>
      <c r="G20" s="15">
        <f t="shared" si="4"/>
        <v>0</v>
      </c>
      <c r="H20" s="20">
        <v>1332.5</v>
      </c>
      <c r="I20" s="21">
        <v>600</v>
      </c>
      <c r="J20" s="21">
        <v>650</v>
      </c>
      <c r="K20" s="31">
        <f t="shared" si="0"/>
        <v>8405</v>
      </c>
      <c r="L20" s="26">
        <f t="shared" si="1"/>
        <v>30</v>
      </c>
      <c r="M20" s="25">
        <f t="shared" si="2"/>
        <v>7125</v>
      </c>
    </row>
    <row r="21" spans="1:14" x14ac:dyDescent="0.3">
      <c r="A21" s="36">
        <v>45857</v>
      </c>
      <c r="B21" s="18">
        <v>450</v>
      </c>
      <c r="C21" s="18">
        <v>5480</v>
      </c>
      <c r="D21" s="18">
        <v>0</v>
      </c>
      <c r="E21" s="18">
        <v>5480</v>
      </c>
      <c r="F21" s="15">
        <f t="shared" si="3"/>
        <v>-450</v>
      </c>
      <c r="G21" s="15">
        <f t="shared" si="4"/>
        <v>0</v>
      </c>
      <c r="H21" s="20">
        <v>913.32</v>
      </c>
      <c r="I21" s="21">
        <v>310</v>
      </c>
      <c r="J21" s="21">
        <v>385</v>
      </c>
      <c r="K21" s="31">
        <f t="shared" si="0"/>
        <v>5930</v>
      </c>
      <c r="L21" s="26">
        <f t="shared" si="1"/>
        <v>140</v>
      </c>
      <c r="M21" s="25">
        <f t="shared" si="2"/>
        <v>5095</v>
      </c>
    </row>
    <row r="22" spans="1:14" x14ac:dyDescent="0.3">
      <c r="A22" s="36">
        <v>45858</v>
      </c>
      <c r="B22" s="18">
        <v>1745</v>
      </c>
      <c r="C22" s="18">
        <v>3340</v>
      </c>
      <c r="D22" s="18">
        <v>0</v>
      </c>
      <c r="E22" s="18">
        <v>3340</v>
      </c>
      <c r="F22" s="15">
        <f t="shared" si="3"/>
        <v>-1745</v>
      </c>
      <c r="G22" s="15">
        <f t="shared" si="4"/>
        <v>0</v>
      </c>
      <c r="H22" s="20">
        <v>603.32000000000005</v>
      </c>
      <c r="I22" s="21">
        <v>720</v>
      </c>
      <c r="J22" s="21">
        <v>0</v>
      </c>
      <c r="K22" s="31">
        <f t="shared" si="0"/>
        <v>5085</v>
      </c>
      <c r="L22" s="26">
        <f t="shared" si="1"/>
        <v>1025</v>
      </c>
      <c r="M22" s="25">
        <f t="shared" si="2"/>
        <v>3340</v>
      </c>
    </row>
    <row r="23" spans="1:14" x14ac:dyDescent="0.3">
      <c r="A23" s="36">
        <v>45859</v>
      </c>
      <c r="B23" s="18">
        <v>750</v>
      </c>
      <c r="C23" s="18">
        <v>2290</v>
      </c>
      <c r="D23" s="18">
        <v>0</v>
      </c>
      <c r="E23" s="18">
        <v>2290</v>
      </c>
      <c r="F23" s="15">
        <f t="shared" si="3"/>
        <v>-750</v>
      </c>
      <c r="G23" s="15">
        <f t="shared" si="4"/>
        <v>0</v>
      </c>
      <c r="H23" s="20">
        <v>381.66</v>
      </c>
      <c r="I23" s="21">
        <v>730</v>
      </c>
      <c r="J23" s="21">
        <v>19368</v>
      </c>
      <c r="K23" s="31">
        <f t="shared" si="0"/>
        <v>3040</v>
      </c>
      <c r="L23" s="26">
        <f t="shared" si="1"/>
        <v>20</v>
      </c>
      <c r="M23" s="25">
        <f t="shared" si="2"/>
        <v>-17078</v>
      </c>
    </row>
    <row r="24" spans="1:14" x14ac:dyDescent="0.3">
      <c r="A24" s="36">
        <v>45860</v>
      </c>
      <c r="B24" s="18">
        <v>370</v>
      </c>
      <c r="C24" s="18">
        <v>1720</v>
      </c>
      <c r="D24" s="18">
        <v>0</v>
      </c>
      <c r="E24" s="18">
        <v>1720</v>
      </c>
      <c r="F24" s="15">
        <f t="shared" si="3"/>
        <v>-370</v>
      </c>
      <c r="G24" s="15">
        <f t="shared" si="4"/>
        <v>0</v>
      </c>
      <c r="H24" s="20">
        <v>268.67</v>
      </c>
      <c r="I24" s="21">
        <v>0</v>
      </c>
      <c r="J24" s="21">
        <v>293</v>
      </c>
      <c r="K24" s="31">
        <f t="shared" si="0"/>
        <v>2090</v>
      </c>
      <c r="L24" s="26">
        <f t="shared" si="1"/>
        <v>370</v>
      </c>
      <c r="M24" s="25">
        <f t="shared" si="2"/>
        <v>1427</v>
      </c>
    </row>
    <row r="25" spans="1:14" x14ac:dyDescent="0.3">
      <c r="A25" s="36">
        <v>45861</v>
      </c>
      <c r="B25" s="18">
        <v>600</v>
      </c>
      <c r="C25" s="18">
        <v>2580</v>
      </c>
      <c r="D25" s="18">
        <v>0</v>
      </c>
      <c r="E25" s="18">
        <v>2580</v>
      </c>
      <c r="F25" s="15">
        <f t="shared" si="3"/>
        <v>-600</v>
      </c>
      <c r="G25" s="15">
        <f t="shared" si="4"/>
        <v>0</v>
      </c>
      <c r="H25" s="20">
        <v>296.67</v>
      </c>
      <c r="I25" s="21">
        <v>215</v>
      </c>
      <c r="J25" s="21">
        <v>1850</v>
      </c>
      <c r="K25" s="31">
        <f t="shared" si="0"/>
        <v>3180</v>
      </c>
      <c r="L25" s="26">
        <f t="shared" si="1"/>
        <v>385</v>
      </c>
      <c r="M25" s="25">
        <f t="shared" si="2"/>
        <v>730</v>
      </c>
      <c r="N25" t="s">
        <v>18</v>
      </c>
    </row>
    <row r="26" spans="1:14" x14ac:dyDescent="0.3">
      <c r="A26" s="36">
        <v>45862</v>
      </c>
      <c r="B26" s="18">
        <v>2600</v>
      </c>
      <c r="C26" s="18">
        <v>2200</v>
      </c>
      <c r="D26" s="18">
        <v>0</v>
      </c>
      <c r="E26" s="18">
        <v>2200</v>
      </c>
      <c r="F26" s="15">
        <f t="shared" si="3"/>
        <v>-2600</v>
      </c>
      <c r="G26" s="15">
        <f t="shared" si="4"/>
        <v>0</v>
      </c>
      <c r="H26" s="20">
        <v>383.34</v>
      </c>
      <c r="I26" s="21">
        <v>1060</v>
      </c>
      <c r="J26" s="21">
        <v>1030</v>
      </c>
      <c r="K26" s="31">
        <f t="shared" si="0"/>
        <v>4800</v>
      </c>
      <c r="L26" s="26">
        <f t="shared" si="1"/>
        <v>1540</v>
      </c>
      <c r="M26" s="25">
        <f t="shared" si="2"/>
        <v>1170</v>
      </c>
    </row>
    <row r="27" spans="1:14" x14ac:dyDescent="0.3">
      <c r="A27" s="36">
        <v>45863</v>
      </c>
      <c r="B27" s="18">
        <v>410</v>
      </c>
      <c r="C27" s="18">
        <v>4210</v>
      </c>
      <c r="D27" s="18">
        <v>0</v>
      </c>
      <c r="E27" s="18">
        <v>4210</v>
      </c>
      <c r="F27" s="15">
        <f t="shared" si="3"/>
        <v>-410</v>
      </c>
      <c r="G27" s="15">
        <f t="shared" si="4"/>
        <v>0</v>
      </c>
      <c r="H27" s="20">
        <v>701.68</v>
      </c>
      <c r="I27" s="21">
        <v>1680</v>
      </c>
      <c r="J27" s="21">
        <v>0</v>
      </c>
      <c r="K27" s="31">
        <f t="shared" si="0"/>
        <v>4620</v>
      </c>
      <c r="L27" s="26">
        <f t="shared" si="1"/>
        <v>-1270</v>
      </c>
      <c r="M27" s="25">
        <f t="shared" si="2"/>
        <v>4210</v>
      </c>
    </row>
    <row r="28" spans="1:14" x14ac:dyDescent="0.3">
      <c r="A28" s="36">
        <v>45864</v>
      </c>
      <c r="B28" s="18">
        <v>220</v>
      </c>
      <c r="C28" s="18">
        <v>3020</v>
      </c>
      <c r="D28" s="18">
        <v>0</v>
      </c>
      <c r="E28" s="18">
        <v>3020</v>
      </c>
      <c r="F28" s="15">
        <f t="shared" si="3"/>
        <v>-220</v>
      </c>
      <c r="G28" s="15">
        <f t="shared" si="4"/>
        <v>0</v>
      </c>
      <c r="H28" s="20">
        <v>518.34</v>
      </c>
      <c r="I28" s="21">
        <v>700</v>
      </c>
      <c r="J28" s="21">
        <v>290</v>
      </c>
      <c r="K28" s="31">
        <f t="shared" si="0"/>
        <v>3240</v>
      </c>
      <c r="L28" s="26">
        <f t="shared" si="1"/>
        <v>-480</v>
      </c>
      <c r="M28" s="25">
        <f t="shared" si="2"/>
        <v>2730</v>
      </c>
    </row>
    <row r="29" spans="1:14" x14ac:dyDescent="0.3">
      <c r="A29" s="36">
        <v>45865</v>
      </c>
      <c r="B29" s="18">
        <v>1110</v>
      </c>
      <c r="C29" s="18">
        <v>4880</v>
      </c>
      <c r="D29" s="18">
        <v>0</v>
      </c>
      <c r="E29" s="18">
        <v>4880</v>
      </c>
      <c r="F29" s="15">
        <f t="shared" si="3"/>
        <v>-1110</v>
      </c>
      <c r="G29" s="15">
        <f t="shared" si="4"/>
        <v>0</v>
      </c>
      <c r="H29" s="20">
        <v>813.34</v>
      </c>
      <c r="I29" s="21">
        <v>300</v>
      </c>
      <c r="J29" s="21">
        <v>0</v>
      </c>
      <c r="K29" s="31">
        <f t="shared" si="0"/>
        <v>5990</v>
      </c>
      <c r="L29" s="26">
        <f t="shared" si="1"/>
        <v>810</v>
      </c>
      <c r="M29" s="25">
        <f t="shared" si="2"/>
        <v>4880</v>
      </c>
    </row>
    <row r="30" spans="1:14" x14ac:dyDescent="0.3">
      <c r="A30" s="36">
        <v>45866</v>
      </c>
      <c r="B30" s="18">
        <v>970</v>
      </c>
      <c r="C30" s="18">
        <v>2240</v>
      </c>
      <c r="D30" s="18">
        <v>0</v>
      </c>
      <c r="E30" s="18">
        <v>2240</v>
      </c>
      <c r="F30" s="15">
        <f t="shared" si="3"/>
        <v>-970</v>
      </c>
      <c r="G30" s="15">
        <f t="shared" si="4"/>
        <v>0</v>
      </c>
      <c r="H30" s="20">
        <v>373.33</v>
      </c>
      <c r="I30" s="21">
        <v>300</v>
      </c>
      <c r="J30" s="21">
        <v>15325</v>
      </c>
      <c r="K30" s="31">
        <f t="shared" si="0"/>
        <v>3210</v>
      </c>
      <c r="L30" s="26">
        <f t="shared" si="1"/>
        <v>670</v>
      </c>
      <c r="M30" s="25">
        <f t="shared" si="2"/>
        <v>-13085</v>
      </c>
    </row>
    <row r="31" spans="1:14" x14ac:dyDescent="0.3">
      <c r="A31" s="36">
        <v>45867</v>
      </c>
      <c r="B31" s="18">
        <v>110</v>
      </c>
      <c r="C31" s="18">
        <v>820</v>
      </c>
      <c r="D31" s="18">
        <v>0</v>
      </c>
      <c r="E31" s="18">
        <v>820</v>
      </c>
      <c r="F31" s="15">
        <f t="shared" si="3"/>
        <v>-110</v>
      </c>
      <c r="G31" s="15">
        <f t="shared" si="4"/>
        <v>0</v>
      </c>
      <c r="H31" s="20">
        <v>136.66</v>
      </c>
      <c r="I31" s="21">
        <v>4645</v>
      </c>
      <c r="J31" s="21">
        <v>2374</v>
      </c>
      <c r="K31" s="31">
        <f t="shared" si="0"/>
        <v>930</v>
      </c>
      <c r="L31" s="26">
        <f t="shared" si="1"/>
        <v>-4535</v>
      </c>
      <c r="M31" s="25">
        <f t="shared" si="2"/>
        <v>-1554</v>
      </c>
    </row>
    <row r="32" spans="1:14" x14ac:dyDescent="0.3">
      <c r="A32" s="36">
        <v>45868</v>
      </c>
      <c r="B32" s="18">
        <v>1600</v>
      </c>
      <c r="C32" s="18">
        <v>2750</v>
      </c>
      <c r="D32" s="18">
        <v>0</v>
      </c>
      <c r="E32" s="18">
        <v>2750</v>
      </c>
      <c r="F32" s="15">
        <f t="shared" si="3"/>
        <v>-1600</v>
      </c>
      <c r="G32" s="15">
        <f t="shared" si="4"/>
        <v>0</v>
      </c>
      <c r="H32" s="20">
        <v>458.34</v>
      </c>
      <c r="I32" s="21">
        <v>285</v>
      </c>
      <c r="J32" s="21">
        <v>2940</v>
      </c>
      <c r="K32" s="31">
        <f t="shared" si="0"/>
        <v>4350</v>
      </c>
      <c r="L32" s="26">
        <f t="shared" si="1"/>
        <v>1315</v>
      </c>
      <c r="M32" s="25">
        <f t="shared" si="2"/>
        <v>-190</v>
      </c>
    </row>
    <row r="33" spans="1:14" x14ac:dyDescent="0.3">
      <c r="A33" s="36">
        <v>45869</v>
      </c>
      <c r="B33" s="18">
        <v>1250</v>
      </c>
      <c r="C33" s="18">
        <v>1050</v>
      </c>
      <c r="D33" s="18">
        <v>0</v>
      </c>
      <c r="E33" s="18">
        <v>1050</v>
      </c>
      <c r="F33" s="15">
        <f>SUM(D33-B33)</f>
        <v>-1250</v>
      </c>
      <c r="G33" s="15">
        <f>SUM(E33-C33)</f>
        <v>0</v>
      </c>
      <c r="H33" s="20">
        <v>175</v>
      </c>
      <c r="I33" s="21">
        <v>950</v>
      </c>
      <c r="J33" s="33">
        <v>650</v>
      </c>
      <c r="K33" s="31">
        <f t="shared" si="0"/>
        <v>2300</v>
      </c>
      <c r="L33" s="26">
        <f t="shared" si="1"/>
        <v>300</v>
      </c>
      <c r="M33" s="25">
        <f t="shared" si="2"/>
        <v>400</v>
      </c>
    </row>
    <row r="34" spans="1:14" s="8" customFormat="1" ht="27.6" customHeight="1" x14ac:dyDescent="0.35">
      <c r="A34" s="24" t="s">
        <v>4</v>
      </c>
      <c r="B34" s="22">
        <f>SUM(B3:B33)</f>
        <v>25675</v>
      </c>
      <c r="C34" s="22">
        <f>SUM(C3:C33)</f>
        <v>84575</v>
      </c>
      <c r="D34" s="22"/>
      <c r="E34" s="22">
        <f t="shared" ref="E34:M34" si="5">SUM(E3:E33)</f>
        <v>81615</v>
      </c>
      <c r="F34" s="15">
        <f t="shared" si="5"/>
        <v>-25550</v>
      </c>
      <c r="G34" s="23">
        <f t="shared" si="5"/>
        <v>-2960</v>
      </c>
      <c r="H34" s="24" t="s">
        <v>17</v>
      </c>
      <c r="I34" s="24">
        <f t="shared" si="5"/>
        <v>20585</v>
      </c>
      <c r="J34" s="24">
        <f t="shared" si="5"/>
        <v>84185</v>
      </c>
      <c r="K34" s="32">
        <f t="shared" si="5"/>
        <v>110250</v>
      </c>
      <c r="L34" s="27">
        <f t="shared" si="5"/>
        <v>5090</v>
      </c>
      <c r="M34" s="27">
        <f t="shared" si="5"/>
        <v>-2570</v>
      </c>
      <c r="N34" s="13"/>
    </row>
    <row r="35" spans="1:14" x14ac:dyDescent="0.3">
      <c r="K35" s="34"/>
    </row>
    <row r="37" spans="1:14" ht="18" x14ac:dyDescent="0.3">
      <c r="G37" s="51" t="s">
        <v>14</v>
      </c>
      <c r="H37" s="51"/>
      <c r="I37" s="12">
        <f>SUM(K3:K33)</f>
        <v>110250</v>
      </c>
    </row>
    <row r="38" spans="1:14" ht="18" x14ac:dyDescent="0.3">
      <c r="G38" s="51" t="s">
        <v>16</v>
      </c>
      <c r="H38" s="51"/>
      <c r="I38" s="12">
        <f>SUM(+I34+J34)</f>
        <v>104770</v>
      </c>
    </row>
    <row r="39" spans="1:14" ht="18" x14ac:dyDescent="0.3">
      <c r="G39" s="51" t="s">
        <v>15</v>
      </c>
      <c r="H39" s="51"/>
      <c r="I39" s="12">
        <f>SUM(L34+M34)</f>
        <v>2520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9"/>
  <sheetViews>
    <sheetView topLeftCell="A17" workbookViewId="0">
      <selection activeCell="H5" sqref="H5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">
        <v>45809</v>
      </c>
      <c r="B3" s="14">
        <v>850</v>
      </c>
      <c r="C3" s="14">
        <v>1740</v>
      </c>
      <c r="D3" s="14">
        <v>0</v>
      </c>
      <c r="E3" s="14">
        <v>1740</v>
      </c>
      <c r="F3" s="15">
        <f>SUM(D3-B3)</f>
        <v>-850</v>
      </c>
      <c r="G3" s="15">
        <f>SUM(E3-C3)</f>
        <v>0</v>
      </c>
      <c r="H3" s="16">
        <v>290.01</v>
      </c>
      <c r="I3" s="17">
        <v>320</v>
      </c>
      <c r="J3" s="17">
        <v>360</v>
      </c>
      <c r="K3" s="31">
        <f>SUM(B3:C3)</f>
        <v>2590</v>
      </c>
      <c r="L3" s="25">
        <f>SUM(B3-I3)</f>
        <v>530</v>
      </c>
      <c r="M3" s="25">
        <f>SUM(E3-J3)</f>
        <v>1380</v>
      </c>
    </row>
    <row r="4" spans="1:14" x14ac:dyDescent="0.3">
      <c r="A4" s="3">
        <v>45810</v>
      </c>
      <c r="B4" s="18">
        <v>450</v>
      </c>
      <c r="C4" s="18">
        <v>3910</v>
      </c>
      <c r="D4" s="18">
        <v>0</v>
      </c>
      <c r="E4" s="18">
        <v>3910</v>
      </c>
      <c r="F4" s="15">
        <f t="shared" ref="F4:G33" si="0">SUM(D4-B4)</f>
        <v>-450</v>
      </c>
      <c r="G4" s="19">
        <f t="shared" si="0"/>
        <v>0</v>
      </c>
      <c r="H4" s="20">
        <v>585.01</v>
      </c>
      <c r="I4" s="21">
        <v>1450</v>
      </c>
      <c r="J4" s="21">
        <v>80</v>
      </c>
      <c r="K4" s="31">
        <f t="shared" ref="K4:K33" si="1">SUM(B4:C4)</f>
        <v>4360</v>
      </c>
      <c r="L4" s="26">
        <f t="shared" ref="L4:L33" si="2">SUM(B4-I4)</f>
        <v>-1000</v>
      </c>
      <c r="M4" s="25">
        <f t="shared" ref="M4:M33" si="3">SUM(E4-J4)</f>
        <v>3830</v>
      </c>
    </row>
    <row r="5" spans="1:14" x14ac:dyDescent="0.3">
      <c r="A5" s="3">
        <v>45811</v>
      </c>
      <c r="B5" s="18">
        <v>150</v>
      </c>
      <c r="C5" s="18">
        <v>6670</v>
      </c>
      <c r="D5" s="18">
        <v>0</v>
      </c>
      <c r="E5" s="18">
        <v>6670</v>
      </c>
      <c r="F5" s="15">
        <f t="shared" si="0"/>
        <v>-150</v>
      </c>
      <c r="G5" s="19">
        <f t="shared" si="0"/>
        <v>0</v>
      </c>
      <c r="H5" s="20">
        <v>1003.33</v>
      </c>
      <c r="I5" s="21">
        <v>100</v>
      </c>
      <c r="J5" s="21">
        <v>0</v>
      </c>
      <c r="K5" s="31">
        <f t="shared" si="1"/>
        <v>6820</v>
      </c>
      <c r="L5" s="26">
        <f t="shared" si="2"/>
        <v>50</v>
      </c>
      <c r="M5" s="25">
        <f t="shared" si="3"/>
        <v>6670</v>
      </c>
    </row>
    <row r="6" spans="1:14" x14ac:dyDescent="0.3">
      <c r="A6" s="3">
        <v>45812</v>
      </c>
      <c r="B6" s="18">
        <v>2050</v>
      </c>
      <c r="C6" s="18">
        <v>5660</v>
      </c>
      <c r="D6" s="18">
        <v>0</v>
      </c>
      <c r="E6" s="18">
        <v>5660</v>
      </c>
      <c r="F6" s="15">
        <f t="shared" si="0"/>
        <v>-2050</v>
      </c>
      <c r="G6" s="19">
        <f t="shared" si="0"/>
        <v>0</v>
      </c>
      <c r="H6" s="20">
        <v>985.01</v>
      </c>
      <c r="I6" s="21">
        <v>0</v>
      </c>
      <c r="J6" s="21">
        <v>7765</v>
      </c>
      <c r="K6" s="31">
        <f t="shared" si="1"/>
        <v>7710</v>
      </c>
      <c r="L6" s="26">
        <f t="shared" si="2"/>
        <v>2050</v>
      </c>
      <c r="M6" s="25">
        <f t="shared" si="3"/>
        <v>-2105</v>
      </c>
    </row>
    <row r="7" spans="1:14" x14ac:dyDescent="0.3">
      <c r="A7" s="3">
        <v>45813</v>
      </c>
      <c r="B7" s="18">
        <v>2300</v>
      </c>
      <c r="C7" s="18">
        <v>5210</v>
      </c>
      <c r="D7" s="18">
        <v>0</v>
      </c>
      <c r="E7" s="18">
        <v>5210</v>
      </c>
      <c r="F7" s="15">
        <f t="shared" si="0"/>
        <v>-2300</v>
      </c>
      <c r="G7" s="19">
        <f t="shared" si="0"/>
        <v>0</v>
      </c>
      <c r="H7" s="20">
        <v>823.32</v>
      </c>
      <c r="I7" s="21">
        <v>100</v>
      </c>
      <c r="J7" s="21">
        <v>500</v>
      </c>
      <c r="K7" s="31">
        <f t="shared" si="1"/>
        <v>7510</v>
      </c>
      <c r="L7" s="26">
        <f t="shared" si="2"/>
        <v>2200</v>
      </c>
      <c r="M7" s="25">
        <f t="shared" si="3"/>
        <v>4710</v>
      </c>
    </row>
    <row r="8" spans="1:14" x14ac:dyDescent="0.3">
      <c r="A8" s="3">
        <v>45814</v>
      </c>
      <c r="B8" s="18">
        <v>0</v>
      </c>
      <c r="C8" s="18">
        <v>0</v>
      </c>
      <c r="D8" s="18">
        <v>0</v>
      </c>
      <c r="E8" s="18">
        <v>0</v>
      </c>
      <c r="F8" s="15">
        <f t="shared" si="0"/>
        <v>0</v>
      </c>
      <c r="G8" s="19">
        <v>0</v>
      </c>
      <c r="H8" s="20">
        <v>0</v>
      </c>
      <c r="I8" s="21">
        <v>550</v>
      </c>
      <c r="J8" s="21">
        <v>1420</v>
      </c>
      <c r="K8" s="31">
        <f t="shared" si="1"/>
        <v>0</v>
      </c>
      <c r="L8" s="26">
        <f t="shared" si="2"/>
        <v>-550</v>
      </c>
      <c r="M8" s="25">
        <f t="shared" si="3"/>
        <v>-1420</v>
      </c>
    </row>
    <row r="9" spans="1:14" x14ac:dyDescent="0.3">
      <c r="A9" s="3">
        <v>45815</v>
      </c>
      <c r="B9" s="18">
        <v>0</v>
      </c>
      <c r="C9" s="18">
        <v>0</v>
      </c>
      <c r="D9" s="18">
        <v>0</v>
      </c>
      <c r="E9" s="18">
        <v>0</v>
      </c>
      <c r="F9" s="15">
        <f t="shared" si="0"/>
        <v>0</v>
      </c>
      <c r="G9" s="19">
        <f t="shared" si="0"/>
        <v>0</v>
      </c>
      <c r="H9" s="20">
        <v>0</v>
      </c>
      <c r="I9" s="21">
        <v>840</v>
      </c>
      <c r="J9" s="21">
        <v>0</v>
      </c>
      <c r="K9" s="31">
        <f t="shared" si="1"/>
        <v>0</v>
      </c>
      <c r="L9" s="26">
        <f t="shared" si="2"/>
        <v>-840</v>
      </c>
      <c r="M9" s="25">
        <f t="shared" si="3"/>
        <v>0</v>
      </c>
    </row>
    <row r="10" spans="1:14" x14ac:dyDescent="0.3">
      <c r="A10" s="3">
        <v>45816</v>
      </c>
      <c r="B10" s="18">
        <v>770</v>
      </c>
      <c r="C10" s="18">
        <v>120</v>
      </c>
      <c r="D10" s="18">
        <v>0</v>
      </c>
      <c r="E10" s="18">
        <v>120</v>
      </c>
      <c r="F10" s="15">
        <f t="shared" si="0"/>
        <v>-770</v>
      </c>
      <c r="G10" s="19">
        <f t="shared" si="0"/>
        <v>0</v>
      </c>
      <c r="H10" s="20">
        <v>20</v>
      </c>
      <c r="I10" s="21">
        <v>400</v>
      </c>
      <c r="J10" s="21">
        <v>0</v>
      </c>
      <c r="K10" s="31">
        <f t="shared" si="1"/>
        <v>890</v>
      </c>
      <c r="L10" s="26">
        <f t="shared" si="2"/>
        <v>370</v>
      </c>
      <c r="M10" s="25">
        <f t="shared" si="3"/>
        <v>120</v>
      </c>
    </row>
    <row r="11" spans="1:14" x14ac:dyDescent="0.3">
      <c r="A11" s="3">
        <v>45817</v>
      </c>
      <c r="B11" s="18">
        <v>1120</v>
      </c>
      <c r="C11" s="18">
        <v>720</v>
      </c>
      <c r="D11" s="18">
        <v>0</v>
      </c>
      <c r="E11" s="18">
        <v>720</v>
      </c>
      <c r="F11" s="15">
        <f t="shared" si="0"/>
        <v>-1120</v>
      </c>
      <c r="G11" s="19">
        <f t="shared" si="0"/>
        <v>0</v>
      </c>
      <c r="H11" s="20">
        <v>120</v>
      </c>
      <c r="I11" s="21">
        <v>0</v>
      </c>
      <c r="J11" s="21">
        <v>930</v>
      </c>
      <c r="K11" s="31">
        <f t="shared" si="1"/>
        <v>1840</v>
      </c>
      <c r="L11" s="26">
        <f t="shared" si="2"/>
        <v>1120</v>
      </c>
      <c r="M11" s="25">
        <f t="shared" si="3"/>
        <v>-210</v>
      </c>
    </row>
    <row r="12" spans="1:14" x14ac:dyDescent="0.3">
      <c r="A12" s="3">
        <v>45818</v>
      </c>
      <c r="B12" s="18">
        <v>870</v>
      </c>
      <c r="C12" s="18">
        <v>2910</v>
      </c>
      <c r="D12" s="18">
        <v>0</v>
      </c>
      <c r="E12" s="18">
        <v>2910</v>
      </c>
      <c r="F12" s="15">
        <f t="shared" si="0"/>
        <v>-870</v>
      </c>
      <c r="G12" s="19">
        <f t="shared" si="0"/>
        <v>0</v>
      </c>
      <c r="H12" s="20">
        <v>485</v>
      </c>
      <c r="I12" s="21">
        <v>430</v>
      </c>
      <c r="J12" s="21">
        <v>24195</v>
      </c>
      <c r="K12" s="31">
        <f t="shared" si="1"/>
        <v>3780</v>
      </c>
      <c r="L12" s="26">
        <f t="shared" si="2"/>
        <v>440</v>
      </c>
      <c r="M12" s="25">
        <f t="shared" si="3"/>
        <v>-21285</v>
      </c>
      <c r="N12" t="s">
        <v>17</v>
      </c>
    </row>
    <row r="13" spans="1:14" x14ac:dyDescent="0.3">
      <c r="A13" s="3">
        <v>45819</v>
      </c>
      <c r="B13" s="18">
        <v>3950</v>
      </c>
      <c r="C13" s="18">
        <v>3470</v>
      </c>
      <c r="D13" s="18">
        <v>0</v>
      </c>
      <c r="E13" s="18">
        <v>3470</v>
      </c>
      <c r="F13" s="15">
        <f t="shared" si="0"/>
        <v>-3950</v>
      </c>
      <c r="G13" s="19">
        <f t="shared" si="0"/>
        <v>0</v>
      </c>
      <c r="H13" s="20">
        <v>461.66</v>
      </c>
      <c r="I13" s="21">
        <v>600</v>
      </c>
      <c r="J13" s="21">
        <v>6000</v>
      </c>
      <c r="K13" s="31">
        <f t="shared" si="1"/>
        <v>7420</v>
      </c>
      <c r="L13" s="26">
        <f t="shared" si="2"/>
        <v>3350</v>
      </c>
      <c r="M13" s="25">
        <f t="shared" si="3"/>
        <v>-2530</v>
      </c>
    </row>
    <row r="14" spans="1:14" x14ac:dyDescent="0.3">
      <c r="A14" s="3">
        <v>45820</v>
      </c>
      <c r="B14" s="18">
        <v>1070</v>
      </c>
      <c r="C14" s="18">
        <v>3600</v>
      </c>
      <c r="D14" s="18">
        <v>0</v>
      </c>
      <c r="E14" s="18">
        <v>3600</v>
      </c>
      <c r="F14" s="15">
        <f t="shared" si="0"/>
        <v>-1070</v>
      </c>
      <c r="G14" s="19">
        <f t="shared" si="0"/>
        <v>0</v>
      </c>
      <c r="H14" s="20">
        <v>600</v>
      </c>
      <c r="I14" s="21">
        <v>115</v>
      </c>
      <c r="J14" s="21">
        <v>0</v>
      </c>
      <c r="K14" s="31">
        <f t="shared" si="1"/>
        <v>4670</v>
      </c>
      <c r="L14" s="26">
        <f t="shared" si="2"/>
        <v>955</v>
      </c>
      <c r="M14" s="25">
        <f t="shared" si="3"/>
        <v>3600</v>
      </c>
    </row>
    <row r="15" spans="1:14" x14ac:dyDescent="0.3">
      <c r="A15" s="3">
        <v>45821</v>
      </c>
      <c r="B15" s="18">
        <v>1400</v>
      </c>
      <c r="C15" s="18">
        <v>6650</v>
      </c>
      <c r="D15" s="18">
        <v>0</v>
      </c>
      <c r="E15" s="18">
        <v>6650</v>
      </c>
      <c r="F15" s="15">
        <f t="shared" si="0"/>
        <v>-1400</v>
      </c>
      <c r="G15" s="19">
        <f t="shared" si="0"/>
        <v>0</v>
      </c>
      <c r="H15" s="20">
        <v>1108.3399999999999</v>
      </c>
      <c r="I15" s="21">
        <v>550</v>
      </c>
      <c r="J15" s="21">
        <v>0</v>
      </c>
      <c r="K15" s="31">
        <f t="shared" si="1"/>
        <v>8050</v>
      </c>
      <c r="L15" s="26">
        <f t="shared" si="2"/>
        <v>850</v>
      </c>
      <c r="M15" s="25">
        <f t="shared" si="3"/>
        <v>6650</v>
      </c>
    </row>
    <row r="16" spans="1:14" x14ac:dyDescent="0.3">
      <c r="A16" s="3">
        <v>45822</v>
      </c>
      <c r="B16" s="18">
        <v>2450</v>
      </c>
      <c r="C16" s="18">
        <v>3830</v>
      </c>
      <c r="D16" s="18">
        <v>0</v>
      </c>
      <c r="E16" s="18">
        <v>3830</v>
      </c>
      <c r="F16" s="15">
        <f t="shared" si="0"/>
        <v>-2450</v>
      </c>
      <c r="G16" s="19">
        <f t="shared" si="0"/>
        <v>0</v>
      </c>
      <c r="H16" s="20">
        <v>638.34</v>
      </c>
      <c r="I16" s="21">
        <v>9400</v>
      </c>
      <c r="J16" s="21">
        <v>8550</v>
      </c>
      <c r="K16" s="31">
        <f t="shared" si="1"/>
        <v>6280</v>
      </c>
      <c r="L16" s="26">
        <f t="shared" si="2"/>
        <v>-6950</v>
      </c>
      <c r="M16" s="25">
        <f t="shared" si="3"/>
        <v>-4720</v>
      </c>
    </row>
    <row r="17" spans="1:14" x14ac:dyDescent="0.3">
      <c r="A17" s="3">
        <v>45823</v>
      </c>
      <c r="B17" s="18">
        <v>1250</v>
      </c>
      <c r="C17" s="18">
        <v>3790</v>
      </c>
      <c r="D17" s="18">
        <v>0</v>
      </c>
      <c r="E17" s="18">
        <v>3790</v>
      </c>
      <c r="F17" s="15">
        <f t="shared" si="0"/>
        <v>-1250</v>
      </c>
      <c r="G17" s="19">
        <f t="shared" si="0"/>
        <v>0</v>
      </c>
      <c r="H17" s="20">
        <v>665.81</v>
      </c>
      <c r="I17" s="21">
        <v>1530</v>
      </c>
      <c r="J17" s="21">
        <v>0</v>
      </c>
      <c r="K17" s="31">
        <v>5040</v>
      </c>
      <c r="L17" s="26">
        <v>0</v>
      </c>
      <c r="M17" s="25">
        <f t="shared" si="3"/>
        <v>3790</v>
      </c>
    </row>
    <row r="18" spans="1:14" x14ac:dyDescent="0.3">
      <c r="A18" s="3">
        <v>45824</v>
      </c>
      <c r="B18" s="18">
        <v>1950</v>
      </c>
      <c r="C18" s="18">
        <v>7145</v>
      </c>
      <c r="D18" s="18">
        <v>0</v>
      </c>
      <c r="E18" s="18">
        <v>7145</v>
      </c>
      <c r="F18" s="15">
        <f t="shared" si="0"/>
        <v>-1950</v>
      </c>
      <c r="G18" s="19">
        <f t="shared" si="0"/>
        <v>0</v>
      </c>
      <c r="H18" s="20">
        <v>1241.67</v>
      </c>
      <c r="I18" s="21">
        <v>170</v>
      </c>
      <c r="J18" s="21">
        <v>13810</v>
      </c>
      <c r="K18" s="31">
        <f t="shared" si="1"/>
        <v>9095</v>
      </c>
      <c r="L18" s="26"/>
      <c r="M18" s="25">
        <f t="shared" si="3"/>
        <v>-6665</v>
      </c>
    </row>
    <row r="19" spans="1:14" x14ac:dyDescent="0.3">
      <c r="A19" s="3">
        <v>45825</v>
      </c>
      <c r="B19" s="18">
        <v>1230</v>
      </c>
      <c r="C19" s="18">
        <v>1470</v>
      </c>
      <c r="D19" s="18">
        <v>0</v>
      </c>
      <c r="E19" s="18">
        <v>1470</v>
      </c>
      <c r="F19" s="15">
        <f t="shared" si="0"/>
        <v>-1230</v>
      </c>
      <c r="G19" s="19">
        <f t="shared" si="0"/>
        <v>0</v>
      </c>
      <c r="H19" s="20">
        <v>245</v>
      </c>
      <c r="I19" s="21">
        <v>750</v>
      </c>
      <c r="J19" s="21">
        <v>600</v>
      </c>
      <c r="K19" s="31">
        <f t="shared" si="1"/>
        <v>2700</v>
      </c>
      <c r="L19" s="26"/>
      <c r="M19" s="25">
        <f t="shared" si="3"/>
        <v>870</v>
      </c>
    </row>
    <row r="20" spans="1:14" x14ac:dyDescent="0.3">
      <c r="A20" s="3">
        <v>45826</v>
      </c>
      <c r="B20" s="18">
        <v>1165</v>
      </c>
      <c r="C20" s="18">
        <v>1295</v>
      </c>
      <c r="D20" s="18">
        <v>0</v>
      </c>
      <c r="E20" s="18">
        <v>1295</v>
      </c>
      <c r="F20" s="15">
        <f t="shared" si="0"/>
        <v>-1165</v>
      </c>
      <c r="G20" s="19">
        <f t="shared" si="0"/>
        <v>0</v>
      </c>
      <c r="H20" s="20">
        <v>190.84</v>
      </c>
      <c r="I20" s="21">
        <v>775</v>
      </c>
      <c r="J20" s="21">
        <v>8395</v>
      </c>
      <c r="K20" s="31">
        <f t="shared" si="1"/>
        <v>2460</v>
      </c>
      <c r="L20" s="26">
        <f t="shared" si="2"/>
        <v>390</v>
      </c>
      <c r="M20" s="25">
        <f t="shared" si="3"/>
        <v>-7100</v>
      </c>
    </row>
    <row r="21" spans="1:14" x14ac:dyDescent="0.3">
      <c r="A21" s="3">
        <v>45827</v>
      </c>
      <c r="B21" s="18">
        <v>550</v>
      </c>
      <c r="C21" s="18">
        <v>1910</v>
      </c>
      <c r="D21" s="18">
        <v>0</v>
      </c>
      <c r="E21" s="18">
        <v>1910</v>
      </c>
      <c r="F21" s="15">
        <f t="shared" si="0"/>
        <v>-550</v>
      </c>
      <c r="G21" s="19">
        <f t="shared" si="0"/>
        <v>0</v>
      </c>
      <c r="H21" s="20">
        <v>318.33</v>
      </c>
      <c r="I21" s="21">
        <v>585</v>
      </c>
      <c r="J21" s="21">
        <v>1000</v>
      </c>
      <c r="K21" s="31">
        <f t="shared" si="1"/>
        <v>2460</v>
      </c>
      <c r="L21" s="26">
        <f t="shared" si="2"/>
        <v>-35</v>
      </c>
      <c r="M21" s="25">
        <f t="shared" si="3"/>
        <v>910</v>
      </c>
    </row>
    <row r="22" spans="1:14" x14ac:dyDescent="0.3">
      <c r="A22" s="3">
        <v>45828</v>
      </c>
      <c r="B22" s="18">
        <v>1000</v>
      </c>
      <c r="C22" s="18">
        <v>4890</v>
      </c>
      <c r="D22" s="18">
        <v>0</v>
      </c>
      <c r="E22" s="18">
        <v>4890</v>
      </c>
      <c r="F22" s="15">
        <f t="shared" si="0"/>
        <v>-1000</v>
      </c>
      <c r="G22" s="19">
        <f t="shared" si="0"/>
        <v>0</v>
      </c>
      <c r="H22" s="20">
        <v>831.68</v>
      </c>
      <c r="I22" s="21">
        <v>920</v>
      </c>
      <c r="J22" s="21">
        <v>0</v>
      </c>
      <c r="K22" s="31">
        <f t="shared" si="1"/>
        <v>5890</v>
      </c>
      <c r="L22" s="26">
        <f t="shared" si="2"/>
        <v>80</v>
      </c>
      <c r="M22" s="25">
        <f t="shared" si="3"/>
        <v>4890</v>
      </c>
    </row>
    <row r="23" spans="1:14" x14ac:dyDescent="0.3">
      <c r="A23" s="3">
        <v>45829</v>
      </c>
      <c r="B23" s="18">
        <v>2270</v>
      </c>
      <c r="C23" s="18">
        <v>2160</v>
      </c>
      <c r="D23" s="18">
        <v>0</v>
      </c>
      <c r="E23" s="18">
        <v>2160</v>
      </c>
      <c r="F23" s="15">
        <f t="shared" si="0"/>
        <v>-2270</v>
      </c>
      <c r="G23" s="19">
        <f t="shared" si="0"/>
        <v>0</v>
      </c>
      <c r="H23" s="20">
        <v>392.51</v>
      </c>
      <c r="I23" s="21">
        <v>1440</v>
      </c>
      <c r="J23" s="21">
        <v>0</v>
      </c>
      <c r="K23" s="31">
        <f t="shared" si="1"/>
        <v>4430</v>
      </c>
      <c r="L23" s="26">
        <f t="shared" si="2"/>
        <v>830</v>
      </c>
      <c r="M23" s="25">
        <f t="shared" si="3"/>
        <v>2160</v>
      </c>
    </row>
    <row r="24" spans="1:14" x14ac:dyDescent="0.3">
      <c r="A24" s="3">
        <v>45830</v>
      </c>
      <c r="B24" s="18">
        <v>300</v>
      </c>
      <c r="C24" s="18">
        <v>3440</v>
      </c>
      <c r="D24" s="18">
        <v>0</v>
      </c>
      <c r="E24" s="18">
        <v>3440</v>
      </c>
      <c r="F24" s="15">
        <f t="shared" si="0"/>
        <v>-300</v>
      </c>
      <c r="G24" s="19">
        <f t="shared" si="0"/>
        <v>0</v>
      </c>
      <c r="H24" s="20">
        <v>573.32000000000005</v>
      </c>
      <c r="I24" s="21">
        <v>0</v>
      </c>
      <c r="J24" s="21">
        <v>300</v>
      </c>
      <c r="K24" s="31">
        <f t="shared" si="1"/>
        <v>3740</v>
      </c>
      <c r="L24" s="26">
        <f t="shared" si="2"/>
        <v>300</v>
      </c>
      <c r="M24" s="25">
        <f t="shared" si="3"/>
        <v>3140</v>
      </c>
    </row>
    <row r="25" spans="1:14" x14ac:dyDescent="0.3">
      <c r="A25" s="3">
        <v>45831</v>
      </c>
      <c r="B25" s="18">
        <v>1700</v>
      </c>
      <c r="C25" s="18">
        <v>4120</v>
      </c>
      <c r="D25" s="18">
        <v>0</v>
      </c>
      <c r="E25" s="18">
        <v>4120</v>
      </c>
      <c r="F25" s="15">
        <f t="shared" si="0"/>
        <v>-1700</v>
      </c>
      <c r="G25" s="19">
        <f t="shared" si="0"/>
        <v>0</v>
      </c>
      <c r="H25" s="20">
        <v>551.67999999999995</v>
      </c>
      <c r="I25" s="21">
        <v>1400</v>
      </c>
      <c r="J25" s="21">
        <v>11000</v>
      </c>
      <c r="K25" s="31">
        <f t="shared" si="1"/>
        <v>5820</v>
      </c>
      <c r="L25" s="26">
        <f t="shared" si="2"/>
        <v>300</v>
      </c>
      <c r="M25" s="25">
        <f t="shared" si="3"/>
        <v>-6880</v>
      </c>
      <c r="N25" t="s">
        <v>18</v>
      </c>
    </row>
    <row r="26" spans="1:14" x14ac:dyDescent="0.3">
      <c r="A26" s="3">
        <v>45832</v>
      </c>
      <c r="B26" s="18">
        <v>0</v>
      </c>
      <c r="C26" s="18">
        <v>410</v>
      </c>
      <c r="D26" s="18">
        <v>0</v>
      </c>
      <c r="E26" s="18">
        <v>410</v>
      </c>
      <c r="F26" s="15">
        <f t="shared" si="0"/>
        <v>0</v>
      </c>
      <c r="G26" s="19">
        <f t="shared" si="0"/>
        <v>0</v>
      </c>
      <c r="H26" s="20">
        <v>40</v>
      </c>
      <c r="I26" s="21">
        <v>1200</v>
      </c>
      <c r="J26" s="21">
        <v>0</v>
      </c>
      <c r="K26" s="31">
        <f t="shared" si="1"/>
        <v>410</v>
      </c>
      <c r="L26" s="26">
        <f t="shared" si="2"/>
        <v>-1200</v>
      </c>
      <c r="M26" s="25">
        <f t="shared" si="3"/>
        <v>410</v>
      </c>
    </row>
    <row r="27" spans="1:14" x14ac:dyDescent="0.3">
      <c r="A27" s="3">
        <v>45833</v>
      </c>
      <c r="B27" s="18">
        <v>825</v>
      </c>
      <c r="C27" s="18">
        <v>2290</v>
      </c>
      <c r="D27" s="18">
        <v>0</v>
      </c>
      <c r="E27" s="18">
        <v>2290</v>
      </c>
      <c r="F27" s="15">
        <f t="shared" si="0"/>
        <v>-825</v>
      </c>
      <c r="G27" s="19">
        <v>0</v>
      </c>
      <c r="H27" s="20">
        <v>390</v>
      </c>
      <c r="I27" s="21">
        <v>1050</v>
      </c>
      <c r="J27" s="21">
        <v>5000</v>
      </c>
      <c r="K27" s="31">
        <f t="shared" si="1"/>
        <v>3115</v>
      </c>
      <c r="L27" s="26">
        <f t="shared" si="2"/>
        <v>-225</v>
      </c>
      <c r="M27" s="25">
        <f t="shared" si="3"/>
        <v>-2710</v>
      </c>
    </row>
    <row r="28" spans="1:14" x14ac:dyDescent="0.3">
      <c r="A28" s="3">
        <v>45834</v>
      </c>
      <c r="B28" s="18">
        <v>1530</v>
      </c>
      <c r="C28" s="18">
        <v>2810</v>
      </c>
      <c r="D28" s="18">
        <v>0</v>
      </c>
      <c r="E28" s="18">
        <v>2810</v>
      </c>
      <c r="F28" s="15">
        <f t="shared" si="0"/>
        <v>-1530</v>
      </c>
      <c r="G28" s="19">
        <f t="shared" si="0"/>
        <v>0</v>
      </c>
      <c r="H28" s="20">
        <v>495</v>
      </c>
      <c r="I28" s="21">
        <v>0</v>
      </c>
      <c r="J28" s="21">
        <v>0</v>
      </c>
      <c r="K28" s="31">
        <f t="shared" si="1"/>
        <v>4340</v>
      </c>
      <c r="L28" s="26">
        <f t="shared" si="2"/>
        <v>1530</v>
      </c>
      <c r="M28" s="25">
        <f t="shared" si="3"/>
        <v>2810</v>
      </c>
    </row>
    <row r="29" spans="1:14" x14ac:dyDescent="0.3">
      <c r="A29" s="3">
        <v>45835</v>
      </c>
      <c r="B29" s="18">
        <v>680</v>
      </c>
      <c r="C29" s="18">
        <v>2990</v>
      </c>
      <c r="D29" s="18">
        <v>0</v>
      </c>
      <c r="E29" s="18">
        <v>2990</v>
      </c>
      <c r="F29" s="15">
        <f t="shared" si="0"/>
        <v>-680</v>
      </c>
      <c r="G29" s="19">
        <f t="shared" si="0"/>
        <v>0</v>
      </c>
      <c r="H29" s="20">
        <v>520.84</v>
      </c>
      <c r="I29" s="21">
        <v>0</v>
      </c>
      <c r="J29" s="21">
        <v>5000</v>
      </c>
      <c r="K29" s="31">
        <f t="shared" si="1"/>
        <v>3670</v>
      </c>
      <c r="L29" s="26">
        <f t="shared" si="2"/>
        <v>680</v>
      </c>
      <c r="M29" s="25">
        <f t="shared" si="3"/>
        <v>-2010</v>
      </c>
    </row>
    <row r="30" spans="1:14" x14ac:dyDescent="0.3">
      <c r="A30" s="3">
        <v>45836</v>
      </c>
      <c r="B30" s="18">
        <v>200</v>
      </c>
      <c r="C30" s="18">
        <v>3520</v>
      </c>
      <c r="D30" s="18">
        <v>0</v>
      </c>
      <c r="E30" s="18">
        <v>3520</v>
      </c>
      <c r="F30" s="15">
        <f t="shared" si="0"/>
        <v>-200</v>
      </c>
      <c r="G30" s="19">
        <f t="shared" si="0"/>
        <v>0</v>
      </c>
      <c r="H30" s="20">
        <v>500</v>
      </c>
      <c r="I30" s="21">
        <v>980</v>
      </c>
      <c r="J30" s="21">
        <v>0</v>
      </c>
      <c r="K30" s="31">
        <f t="shared" si="1"/>
        <v>3720</v>
      </c>
      <c r="L30" s="26">
        <f t="shared" si="2"/>
        <v>-780</v>
      </c>
      <c r="M30" s="25">
        <f t="shared" si="3"/>
        <v>3520</v>
      </c>
    </row>
    <row r="31" spans="1:14" x14ac:dyDescent="0.3">
      <c r="A31" s="3">
        <v>45837</v>
      </c>
      <c r="B31" s="18">
        <v>200</v>
      </c>
      <c r="C31" s="18">
        <v>3185</v>
      </c>
      <c r="D31" s="18">
        <v>0</v>
      </c>
      <c r="E31" s="18">
        <v>3185</v>
      </c>
      <c r="F31" s="15">
        <f t="shared" si="0"/>
        <v>-200</v>
      </c>
      <c r="G31" s="19">
        <f t="shared" si="0"/>
        <v>0</v>
      </c>
      <c r="H31" s="20">
        <v>530.83000000000004</v>
      </c>
      <c r="I31" s="21">
        <v>170</v>
      </c>
      <c r="J31" s="21">
        <v>0</v>
      </c>
      <c r="K31" s="31">
        <f t="shared" si="1"/>
        <v>3385</v>
      </c>
      <c r="L31" s="26">
        <f t="shared" si="2"/>
        <v>30</v>
      </c>
      <c r="M31" s="25">
        <f t="shared" si="3"/>
        <v>3185</v>
      </c>
    </row>
    <row r="32" spans="1:14" x14ac:dyDescent="0.3">
      <c r="A32" s="3">
        <v>45838</v>
      </c>
      <c r="B32" s="18">
        <v>700</v>
      </c>
      <c r="C32" s="18">
        <v>1370</v>
      </c>
      <c r="D32" s="18">
        <v>0</v>
      </c>
      <c r="E32" s="18">
        <v>1370</v>
      </c>
      <c r="F32" s="15">
        <f t="shared" si="0"/>
        <v>-700</v>
      </c>
      <c r="G32" s="19">
        <f t="shared" si="0"/>
        <v>0</v>
      </c>
      <c r="H32" s="20">
        <v>228.33</v>
      </c>
      <c r="I32" s="21">
        <v>1825</v>
      </c>
      <c r="J32" s="21">
        <v>500</v>
      </c>
      <c r="K32" s="31">
        <f t="shared" si="1"/>
        <v>2070</v>
      </c>
      <c r="L32" s="26">
        <f t="shared" si="2"/>
        <v>-1125</v>
      </c>
      <c r="M32" s="25">
        <f t="shared" si="3"/>
        <v>870</v>
      </c>
    </row>
    <row r="33" spans="1:14" x14ac:dyDescent="0.3">
      <c r="A33" s="3"/>
      <c r="B33" s="18"/>
      <c r="C33" s="18"/>
      <c r="D33" s="18"/>
      <c r="E33" s="18"/>
      <c r="F33" s="15">
        <f t="shared" si="0"/>
        <v>0</v>
      </c>
      <c r="G33" s="19">
        <f t="shared" si="0"/>
        <v>0</v>
      </c>
      <c r="H33" s="20"/>
      <c r="I33" s="21"/>
      <c r="J33" s="33"/>
      <c r="K33" s="31">
        <f t="shared" si="1"/>
        <v>0</v>
      </c>
      <c r="L33" s="26">
        <f t="shared" si="2"/>
        <v>0</v>
      </c>
      <c r="M33" s="25">
        <f t="shared" si="3"/>
        <v>0</v>
      </c>
    </row>
    <row r="34" spans="1:14" s="8" customFormat="1" ht="27.6" customHeight="1" x14ac:dyDescent="0.35">
      <c r="A34" s="7" t="s">
        <v>4</v>
      </c>
      <c r="B34" s="22">
        <f>SUM(B3:B33)</f>
        <v>32980</v>
      </c>
      <c r="C34" s="22">
        <f>SUM(C3:C33)</f>
        <v>91285</v>
      </c>
      <c r="D34" s="22"/>
      <c r="E34" s="22">
        <f t="shared" ref="E34:M34" si="4">SUM(E3:E33)</f>
        <v>91285</v>
      </c>
      <c r="F34" s="15">
        <f t="shared" si="4"/>
        <v>-32980</v>
      </c>
      <c r="G34" s="23">
        <f t="shared" si="4"/>
        <v>0</v>
      </c>
      <c r="H34" s="24" t="s">
        <v>17</v>
      </c>
      <c r="I34" s="24">
        <f t="shared" si="4"/>
        <v>27650</v>
      </c>
      <c r="J34" s="24">
        <f t="shared" si="4"/>
        <v>95405</v>
      </c>
      <c r="K34" s="32">
        <f t="shared" si="4"/>
        <v>124265</v>
      </c>
      <c r="L34" s="27">
        <f t="shared" si="4"/>
        <v>3350</v>
      </c>
      <c r="M34" s="27">
        <f t="shared" si="4"/>
        <v>-4120</v>
      </c>
      <c r="N34" s="13"/>
    </row>
    <row r="35" spans="1:14" x14ac:dyDescent="0.3">
      <c r="K35" s="34"/>
    </row>
    <row r="37" spans="1:14" ht="18" x14ac:dyDescent="0.3">
      <c r="G37" s="51" t="s">
        <v>14</v>
      </c>
      <c r="H37" s="51"/>
      <c r="I37" s="12">
        <f>SUM(K3:K33)</f>
        <v>124265</v>
      </c>
    </row>
    <row r="38" spans="1:14" ht="18" x14ac:dyDescent="0.3">
      <c r="G38" s="51" t="s">
        <v>16</v>
      </c>
      <c r="H38" s="51"/>
      <c r="I38" s="12">
        <f>SUM(+I34+J34)</f>
        <v>123055</v>
      </c>
    </row>
    <row r="39" spans="1:14" ht="18" x14ac:dyDescent="0.3">
      <c r="G39" s="51" t="s">
        <v>15</v>
      </c>
      <c r="H39" s="51"/>
      <c r="I39" s="12">
        <f>SUM(L34+M34)</f>
        <v>-770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9"/>
  <sheetViews>
    <sheetView topLeftCell="A17" workbookViewId="0">
      <selection activeCell="H34" sqref="H34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">
        <v>45778</v>
      </c>
      <c r="B3" s="14">
        <v>950</v>
      </c>
      <c r="C3" s="14">
        <v>2660</v>
      </c>
      <c r="D3" s="14">
        <v>0</v>
      </c>
      <c r="E3" s="14">
        <v>2660</v>
      </c>
      <c r="F3" s="15">
        <f>SUM(D3-B3)</f>
        <v>-950</v>
      </c>
      <c r="G3" s="15">
        <f>SUM(E3-C3)</f>
        <v>0</v>
      </c>
      <c r="H3" s="16">
        <v>496.67</v>
      </c>
      <c r="I3" s="17">
        <v>100</v>
      </c>
      <c r="J3" s="17">
        <v>0</v>
      </c>
      <c r="K3" s="31">
        <f>SUM(B3:C3)</f>
        <v>3610</v>
      </c>
      <c r="L3" s="25">
        <f>SUM(B3-I3)</f>
        <v>850</v>
      </c>
      <c r="M3" s="25">
        <f>SUM(E3-J3)</f>
        <v>2660</v>
      </c>
    </row>
    <row r="4" spans="1:14" x14ac:dyDescent="0.3">
      <c r="A4" s="3">
        <v>45779</v>
      </c>
      <c r="B4" s="18">
        <v>920</v>
      </c>
      <c r="C4" s="18">
        <v>5340</v>
      </c>
      <c r="D4" s="18">
        <v>0</v>
      </c>
      <c r="E4" s="18">
        <v>5340</v>
      </c>
      <c r="F4" s="15">
        <f t="shared" ref="F4:G33" si="0">SUM(D4-B4)</f>
        <v>-920</v>
      </c>
      <c r="G4" s="19">
        <f t="shared" si="0"/>
        <v>0</v>
      </c>
      <c r="H4" s="20">
        <v>889.99</v>
      </c>
      <c r="I4" s="21">
        <v>605</v>
      </c>
      <c r="J4" s="21">
        <v>0</v>
      </c>
      <c r="K4" s="31">
        <f t="shared" ref="K4:K33" si="1">SUM(B4:C4)</f>
        <v>6260</v>
      </c>
      <c r="L4" s="26">
        <f t="shared" ref="L4:L33" si="2">SUM(B4-I4)</f>
        <v>315</v>
      </c>
      <c r="M4" s="25">
        <f t="shared" ref="M4:M33" si="3">SUM(E4-J4)</f>
        <v>5340</v>
      </c>
    </row>
    <row r="5" spans="1:14" x14ac:dyDescent="0.3">
      <c r="A5" s="3">
        <v>45780</v>
      </c>
      <c r="B5" s="18">
        <v>1900</v>
      </c>
      <c r="C5" s="18">
        <v>3690</v>
      </c>
      <c r="D5" s="18">
        <v>0</v>
      </c>
      <c r="E5" s="18">
        <v>3690</v>
      </c>
      <c r="F5" s="15">
        <f t="shared" si="0"/>
        <v>-1900</v>
      </c>
      <c r="G5" s="19">
        <f t="shared" si="0"/>
        <v>0</v>
      </c>
      <c r="H5" s="20">
        <v>615</v>
      </c>
      <c r="I5" s="21">
        <v>965</v>
      </c>
      <c r="J5" s="21">
        <v>0</v>
      </c>
      <c r="K5" s="31">
        <f t="shared" si="1"/>
        <v>5590</v>
      </c>
      <c r="L5" s="26">
        <f t="shared" si="2"/>
        <v>935</v>
      </c>
      <c r="M5" s="25">
        <f t="shared" si="3"/>
        <v>3690</v>
      </c>
    </row>
    <row r="6" spans="1:14" x14ac:dyDescent="0.3">
      <c r="A6" s="3">
        <v>45781</v>
      </c>
      <c r="B6" s="18">
        <v>500</v>
      </c>
      <c r="C6" s="18">
        <v>2160</v>
      </c>
      <c r="D6" s="18">
        <v>0</v>
      </c>
      <c r="E6" s="18">
        <v>2160</v>
      </c>
      <c r="F6" s="15">
        <f t="shared" si="0"/>
        <v>-500</v>
      </c>
      <c r="G6" s="19">
        <f t="shared" si="0"/>
        <v>0</v>
      </c>
      <c r="H6" s="20">
        <v>360</v>
      </c>
      <c r="I6" s="21">
        <v>350</v>
      </c>
      <c r="J6" s="21">
        <v>0</v>
      </c>
      <c r="K6" s="31">
        <f t="shared" si="1"/>
        <v>2660</v>
      </c>
      <c r="L6" s="26">
        <f t="shared" si="2"/>
        <v>150</v>
      </c>
      <c r="M6" s="25">
        <f t="shared" si="3"/>
        <v>2160</v>
      </c>
    </row>
    <row r="7" spans="1:14" x14ac:dyDescent="0.3">
      <c r="A7" s="3">
        <v>45782</v>
      </c>
      <c r="B7" s="18">
        <v>260</v>
      </c>
      <c r="C7" s="18">
        <v>2505</v>
      </c>
      <c r="D7" s="18">
        <v>0</v>
      </c>
      <c r="E7" s="18">
        <v>2505</v>
      </c>
      <c r="F7" s="15">
        <f t="shared" si="0"/>
        <v>-260</v>
      </c>
      <c r="G7" s="19">
        <f t="shared" si="0"/>
        <v>0</v>
      </c>
      <c r="H7" s="20">
        <v>417.51</v>
      </c>
      <c r="I7" s="21">
        <v>110</v>
      </c>
      <c r="J7" s="21">
        <v>1070</v>
      </c>
      <c r="K7" s="31">
        <f t="shared" si="1"/>
        <v>2765</v>
      </c>
      <c r="L7" s="26">
        <f t="shared" si="2"/>
        <v>150</v>
      </c>
      <c r="M7" s="25">
        <f t="shared" si="3"/>
        <v>1435</v>
      </c>
    </row>
    <row r="8" spans="1:14" x14ac:dyDescent="0.3">
      <c r="A8" s="3">
        <v>45783</v>
      </c>
      <c r="B8" s="18">
        <v>1100</v>
      </c>
      <c r="C8" s="18">
        <v>2880</v>
      </c>
      <c r="D8" s="18">
        <v>0</v>
      </c>
      <c r="E8" s="18">
        <v>2880</v>
      </c>
      <c r="F8" s="15">
        <f t="shared" si="0"/>
        <v>-1100</v>
      </c>
      <c r="G8" s="19">
        <v>0</v>
      </c>
      <c r="H8" s="20">
        <v>405.01</v>
      </c>
      <c r="I8" s="21">
        <v>300</v>
      </c>
      <c r="J8" s="21">
        <v>400</v>
      </c>
      <c r="K8" s="31">
        <f t="shared" si="1"/>
        <v>3980</v>
      </c>
      <c r="L8" s="26">
        <f t="shared" si="2"/>
        <v>800</v>
      </c>
      <c r="M8" s="25">
        <f t="shared" si="3"/>
        <v>2480</v>
      </c>
    </row>
    <row r="9" spans="1:14" x14ac:dyDescent="0.3">
      <c r="A9" s="3">
        <v>45784</v>
      </c>
      <c r="B9" s="18">
        <v>1520</v>
      </c>
      <c r="C9" s="18">
        <v>3500</v>
      </c>
      <c r="D9" s="18">
        <v>0</v>
      </c>
      <c r="E9" s="18">
        <v>3500</v>
      </c>
      <c r="F9" s="15">
        <f t="shared" si="0"/>
        <v>-1520</v>
      </c>
      <c r="G9" s="19">
        <f t="shared" si="0"/>
        <v>0</v>
      </c>
      <c r="H9" s="20">
        <v>583.33000000000004</v>
      </c>
      <c r="I9" s="21">
        <v>750</v>
      </c>
      <c r="J9" s="21">
        <v>0</v>
      </c>
      <c r="K9" s="31">
        <f t="shared" si="1"/>
        <v>5020</v>
      </c>
      <c r="L9" s="26">
        <f t="shared" si="2"/>
        <v>770</v>
      </c>
      <c r="M9" s="25">
        <f t="shared" si="3"/>
        <v>3500</v>
      </c>
    </row>
    <row r="10" spans="1:14" x14ac:dyDescent="0.3">
      <c r="A10" s="3">
        <v>45785</v>
      </c>
      <c r="B10" s="18">
        <v>1250</v>
      </c>
      <c r="C10" s="18">
        <v>2735</v>
      </c>
      <c r="D10" s="18">
        <v>0</v>
      </c>
      <c r="E10" s="18">
        <v>2735</v>
      </c>
      <c r="F10" s="15">
        <f t="shared" si="0"/>
        <v>-1250</v>
      </c>
      <c r="G10" s="19">
        <f t="shared" si="0"/>
        <v>0</v>
      </c>
      <c r="H10" s="20">
        <v>472.5</v>
      </c>
      <c r="I10" s="21">
        <v>250</v>
      </c>
      <c r="J10" s="21">
        <v>695</v>
      </c>
      <c r="K10" s="31">
        <f t="shared" si="1"/>
        <v>3985</v>
      </c>
      <c r="L10" s="26">
        <f t="shared" si="2"/>
        <v>1000</v>
      </c>
      <c r="M10" s="25">
        <f t="shared" si="3"/>
        <v>2040</v>
      </c>
    </row>
    <row r="11" spans="1:14" x14ac:dyDescent="0.3">
      <c r="A11" s="3">
        <v>45786</v>
      </c>
      <c r="B11" s="18">
        <v>600</v>
      </c>
      <c r="C11" s="18">
        <v>2620</v>
      </c>
      <c r="D11" s="18">
        <v>0</v>
      </c>
      <c r="E11" s="18">
        <v>2620</v>
      </c>
      <c r="F11" s="15">
        <f t="shared" si="0"/>
        <v>-600</v>
      </c>
      <c r="G11" s="19">
        <f t="shared" si="0"/>
        <v>0</v>
      </c>
      <c r="H11" s="20">
        <v>436.67</v>
      </c>
      <c r="I11" s="21">
        <v>465</v>
      </c>
      <c r="J11" s="21">
        <v>2665</v>
      </c>
      <c r="K11" s="31">
        <f t="shared" si="1"/>
        <v>3220</v>
      </c>
      <c r="L11" s="26">
        <f t="shared" si="2"/>
        <v>135</v>
      </c>
      <c r="M11" s="25">
        <f t="shared" si="3"/>
        <v>-45</v>
      </c>
    </row>
    <row r="12" spans="1:14" x14ac:dyDescent="0.3">
      <c r="A12" s="3">
        <v>45787</v>
      </c>
      <c r="B12" s="18">
        <v>1800</v>
      </c>
      <c r="C12" s="18">
        <v>5320</v>
      </c>
      <c r="D12" s="18">
        <v>0</v>
      </c>
      <c r="E12" s="18">
        <v>5320</v>
      </c>
      <c r="F12" s="15">
        <f t="shared" si="0"/>
        <v>-1800</v>
      </c>
      <c r="G12" s="19">
        <f t="shared" si="0"/>
        <v>0</v>
      </c>
      <c r="H12" s="20">
        <v>724.17</v>
      </c>
      <c r="I12" s="21">
        <v>500</v>
      </c>
      <c r="J12" s="21">
        <v>20000</v>
      </c>
      <c r="K12" s="31">
        <f t="shared" si="1"/>
        <v>7120</v>
      </c>
      <c r="L12" s="26">
        <f t="shared" si="2"/>
        <v>1300</v>
      </c>
      <c r="M12" s="25">
        <f t="shared" si="3"/>
        <v>-14680</v>
      </c>
      <c r="N12" t="s">
        <v>17</v>
      </c>
    </row>
    <row r="13" spans="1:14" x14ac:dyDescent="0.3">
      <c r="A13" s="3">
        <v>45788</v>
      </c>
      <c r="B13" s="18">
        <v>900</v>
      </c>
      <c r="C13" s="18">
        <v>4910</v>
      </c>
      <c r="D13" s="18">
        <v>0</v>
      </c>
      <c r="E13" s="18">
        <v>4910</v>
      </c>
      <c r="F13" s="15">
        <f t="shared" si="0"/>
        <v>-900</v>
      </c>
      <c r="G13" s="19">
        <f t="shared" si="0"/>
        <v>0</v>
      </c>
      <c r="H13" s="20">
        <v>685</v>
      </c>
      <c r="I13" s="21">
        <v>460</v>
      </c>
      <c r="J13" s="21">
        <v>200</v>
      </c>
      <c r="K13" s="31">
        <f t="shared" si="1"/>
        <v>5810</v>
      </c>
      <c r="L13" s="26">
        <f t="shared" si="2"/>
        <v>440</v>
      </c>
      <c r="M13" s="25">
        <f t="shared" si="3"/>
        <v>4710</v>
      </c>
    </row>
    <row r="14" spans="1:14" x14ac:dyDescent="0.3">
      <c r="A14" s="3">
        <v>45789</v>
      </c>
      <c r="B14" s="18">
        <v>760</v>
      </c>
      <c r="C14" s="18">
        <v>970</v>
      </c>
      <c r="D14" s="18">
        <v>0</v>
      </c>
      <c r="E14" s="18">
        <v>970</v>
      </c>
      <c r="F14" s="15">
        <f t="shared" si="0"/>
        <v>-760</v>
      </c>
      <c r="G14" s="19">
        <f t="shared" si="0"/>
        <v>0</v>
      </c>
      <c r="H14" s="20">
        <v>161.66999999999999</v>
      </c>
      <c r="I14" s="21">
        <v>850</v>
      </c>
      <c r="J14" s="21">
        <v>4055</v>
      </c>
      <c r="K14" s="31">
        <f t="shared" si="1"/>
        <v>1730</v>
      </c>
      <c r="L14" s="26">
        <f t="shared" si="2"/>
        <v>-90</v>
      </c>
      <c r="M14" s="25">
        <f t="shared" si="3"/>
        <v>-3085</v>
      </c>
    </row>
    <row r="15" spans="1:14" x14ac:dyDescent="0.3">
      <c r="A15" s="3">
        <v>45790</v>
      </c>
      <c r="B15" s="18">
        <v>2350</v>
      </c>
      <c r="C15" s="18">
        <v>3275</v>
      </c>
      <c r="D15" s="18">
        <v>0</v>
      </c>
      <c r="E15" s="18">
        <v>3275</v>
      </c>
      <c r="F15" s="15">
        <f t="shared" si="0"/>
        <v>-2350</v>
      </c>
      <c r="G15" s="19">
        <f t="shared" si="0"/>
        <v>0</v>
      </c>
      <c r="H15" s="20">
        <v>545.84</v>
      </c>
      <c r="I15" s="21">
        <v>725</v>
      </c>
      <c r="J15" s="21">
        <v>0</v>
      </c>
      <c r="K15" s="31">
        <v>5625</v>
      </c>
      <c r="L15" s="26">
        <f t="shared" si="2"/>
        <v>1625</v>
      </c>
      <c r="M15" s="25">
        <f t="shared" si="3"/>
        <v>3275</v>
      </c>
    </row>
    <row r="16" spans="1:14" x14ac:dyDescent="0.3">
      <c r="A16" s="3">
        <v>45791</v>
      </c>
      <c r="B16" s="18">
        <v>200</v>
      </c>
      <c r="C16" s="18">
        <v>2980</v>
      </c>
      <c r="D16" s="18">
        <v>0</v>
      </c>
      <c r="E16" s="18">
        <v>2980</v>
      </c>
      <c r="F16" s="15">
        <f t="shared" si="0"/>
        <v>-200</v>
      </c>
      <c r="G16" s="19">
        <f t="shared" si="0"/>
        <v>0</v>
      </c>
      <c r="H16" s="20">
        <v>496.67</v>
      </c>
      <c r="I16" s="21">
        <v>7550</v>
      </c>
      <c r="J16" s="21">
        <v>12800</v>
      </c>
      <c r="K16" s="31">
        <f t="shared" si="1"/>
        <v>3180</v>
      </c>
      <c r="L16" s="26">
        <f t="shared" si="2"/>
        <v>-7350</v>
      </c>
      <c r="M16" s="25">
        <f t="shared" si="3"/>
        <v>-9820</v>
      </c>
    </row>
    <row r="17" spans="1:14" x14ac:dyDescent="0.3">
      <c r="A17" s="3">
        <v>45792</v>
      </c>
      <c r="B17" s="18">
        <v>3100</v>
      </c>
      <c r="C17" s="18">
        <v>5400</v>
      </c>
      <c r="D17" s="18">
        <v>0</v>
      </c>
      <c r="E17" s="18">
        <v>5400</v>
      </c>
      <c r="F17" s="15">
        <f t="shared" si="0"/>
        <v>-3100</v>
      </c>
      <c r="G17" s="19">
        <f t="shared" si="0"/>
        <v>0</v>
      </c>
      <c r="H17" s="20">
        <v>899.99</v>
      </c>
      <c r="I17" s="21">
        <v>0</v>
      </c>
      <c r="J17" s="21">
        <v>0</v>
      </c>
      <c r="K17" s="31">
        <f t="shared" si="1"/>
        <v>8500</v>
      </c>
      <c r="L17" s="26">
        <f t="shared" si="2"/>
        <v>3100</v>
      </c>
      <c r="M17" s="25">
        <f t="shared" si="3"/>
        <v>5400</v>
      </c>
    </row>
    <row r="18" spans="1:14" x14ac:dyDescent="0.3">
      <c r="A18" s="3">
        <v>45793</v>
      </c>
      <c r="B18" s="18">
        <v>1200</v>
      </c>
      <c r="C18" s="18">
        <v>2940</v>
      </c>
      <c r="D18" s="18">
        <v>0</v>
      </c>
      <c r="E18" s="18">
        <v>2940</v>
      </c>
      <c r="F18" s="15">
        <v>0</v>
      </c>
      <c r="G18" s="19">
        <f t="shared" si="0"/>
        <v>0</v>
      </c>
      <c r="H18" s="20">
        <v>435</v>
      </c>
      <c r="I18" s="21">
        <v>1800</v>
      </c>
      <c r="J18" s="21">
        <v>2393</v>
      </c>
      <c r="K18" s="31">
        <f t="shared" si="1"/>
        <v>4140</v>
      </c>
      <c r="L18" s="26">
        <f t="shared" si="2"/>
        <v>-600</v>
      </c>
      <c r="M18" s="25">
        <v>0</v>
      </c>
    </row>
    <row r="19" spans="1:14" x14ac:dyDescent="0.3">
      <c r="A19" s="3">
        <v>45794</v>
      </c>
      <c r="B19" s="18">
        <v>2600</v>
      </c>
      <c r="C19" s="18">
        <v>3070</v>
      </c>
      <c r="D19" s="18">
        <v>0</v>
      </c>
      <c r="E19" s="18">
        <v>3070</v>
      </c>
      <c r="F19" s="15">
        <f t="shared" si="0"/>
        <v>-2600</v>
      </c>
      <c r="G19" s="19">
        <f t="shared" si="0"/>
        <v>0</v>
      </c>
      <c r="H19" s="20">
        <v>543.32000000000005</v>
      </c>
      <c r="I19" s="21">
        <v>200</v>
      </c>
      <c r="J19" s="21">
        <v>0</v>
      </c>
      <c r="K19" s="31">
        <f t="shared" si="1"/>
        <v>5670</v>
      </c>
      <c r="L19" s="26">
        <f t="shared" si="2"/>
        <v>2400</v>
      </c>
      <c r="M19" s="25">
        <f t="shared" si="3"/>
        <v>3070</v>
      </c>
    </row>
    <row r="20" spans="1:14" x14ac:dyDescent="0.3">
      <c r="A20" s="3">
        <v>45795</v>
      </c>
      <c r="B20" s="18">
        <v>750</v>
      </c>
      <c r="C20" s="18">
        <v>6420</v>
      </c>
      <c r="D20" s="18">
        <v>0</v>
      </c>
      <c r="E20" s="18">
        <v>6420</v>
      </c>
      <c r="F20" s="15">
        <f t="shared" si="0"/>
        <v>-750</v>
      </c>
      <c r="G20" s="19">
        <f t="shared" si="0"/>
        <v>0</v>
      </c>
      <c r="H20" s="20">
        <v>1068.3599999999999</v>
      </c>
      <c r="I20" s="21">
        <v>1100</v>
      </c>
      <c r="J20" s="21">
        <v>0</v>
      </c>
      <c r="K20" s="31">
        <f t="shared" si="1"/>
        <v>7170</v>
      </c>
      <c r="L20" s="26">
        <f t="shared" si="2"/>
        <v>-350</v>
      </c>
      <c r="M20" s="25">
        <f t="shared" si="3"/>
        <v>6420</v>
      </c>
    </row>
    <row r="21" spans="1:14" x14ac:dyDescent="0.3">
      <c r="A21" s="3">
        <v>45796</v>
      </c>
      <c r="B21" s="18">
        <v>1300</v>
      </c>
      <c r="C21" s="18">
        <v>1690</v>
      </c>
      <c r="D21" s="18">
        <v>0</v>
      </c>
      <c r="E21" s="18">
        <v>1690</v>
      </c>
      <c r="F21" s="15">
        <f t="shared" si="0"/>
        <v>-1300</v>
      </c>
      <c r="G21" s="19">
        <f t="shared" si="0"/>
        <v>0</v>
      </c>
      <c r="H21" s="20">
        <v>281.66000000000003</v>
      </c>
      <c r="I21" s="21">
        <v>150</v>
      </c>
      <c r="J21" s="21">
        <v>4875</v>
      </c>
      <c r="K21" s="31">
        <f t="shared" si="1"/>
        <v>2990</v>
      </c>
      <c r="L21" s="26">
        <f t="shared" si="2"/>
        <v>1150</v>
      </c>
      <c r="M21" s="25">
        <f t="shared" si="3"/>
        <v>-3185</v>
      </c>
    </row>
    <row r="22" spans="1:14" x14ac:dyDescent="0.3">
      <c r="A22" s="3">
        <v>45797</v>
      </c>
      <c r="B22" s="18">
        <v>400</v>
      </c>
      <c r="C22" s="18">
        <v>2170</v>
      </c>
      <c r="D22" s="18">
        <v>0</v>
      </c>
      <c r="E22" s="18">
        <v>2170</v>
      </c>
      <c r="F22" s="15">
        <f t="shared" si="0"/>
        <v>-400</v>
      </c>
      <c r="G22" s="19">
        <f t="shared" si="0"/>
        <v>0</v>
      </c>
      <c r="H22" s="20">
        <v>225</v>
      </c>
      <c r="I22" s="21">
        <v>5360</v>
      </c>
      <c r="J22" s="21">
        <v>14290</v>
      </c>
      <c r="K22" s="31">
        <f t="shared" si="1"/>
        <v>2570</v>
      </c>
      <c r="L22" s="26">
        <f t="shared" si="2"/>
        <v>-4960</v>
      </c>
      <c r="M22" s="25">
        <f t="shared" si="3"/>
        <v>-12120</v>
      </c>
    </row>
    <row r="23" spans="1:14" x14ac:dyDescent="0.3">
      <c r="A23" s="3">
        <v>45798</v>
      </c>
      <c r="B23" s="18">
        <v>650</v>
      </c>
      <c r="C23" s="18">
        <v>5860</v>
      </c>
      <c r="D23" s="18">
        <v>0</v>
      </c>
      <c r="E23" s="18">
        <v>5860</v>
      </c>
      <c r="F23" s="15">
        <f t="shared" si="0"/>
        <v>-650</v>
      </c>
      <c r="G23" s="19">
        <f t="shared" si="0"/>
        <v>0</v>
      </c>
      <c r="H23" s="20">
        <v>934.99</v>
      </c>
      <c r="I23" s="21">
        <v>605</v>
      </c>
      <c r="J23" s="21">
        <v>0</v>
      </c>
      <c r="K23" s="31">
        <f t="shared" si="1"/>
        <v>6510</v>
      </c>
      <c r="L23" s="26">
        <f t="shared" si="2"/>
        <v>45</v>
      </c>
      <c r="M23" s="25">
        <f t="shared" si="3"/>
        <v>5860</v>
      </c>
    </row>
    <row r="24" spans="1:14" x14ac:dyDescent="0.3">
      <c r="A24" s="3">
        <v>45799</v>
      </c>
      <c r="B24" s="18">
        <v>2250</v>
      </c>
      <c r="C24" s="18">
        <v>8255</v>
      </c>
      <c r="D24" s="18">
        <v>0</v>
      </c>
      <c r="E24" s="18">
        <v>8255</v>
      </c>
      <c r="F24" s="15">
        <f t="shared" si="0"/>
        <v>-2250</v>
      </c>
      <c r="G24" s="19">
        <f t="shared" si="0"/>
        <v>0</v>
      </c>
      <c r="H24" s="20">
        <v>1300.82</v>
      </c>
      <c r="I24" s="21">
        <v>150</v>
      </c>
      <c r="J24" s="21">
        <v>6160</v>
      </c>
      <c r="K24" s="31">
        <f t="shared" si="1"/>
        <v>10505</v>
      </c>
      <c r="L24" s="26">
        <f t="shared" si="2"/>
        <v>2100</v>
      </c>
      <c r="M24" s="25">
        <f t="shared" si="3"/>
        <v>2095</v>
      </c>
    </row>
    <row r="25" spans="1:14" x14ac:dyDescent="0.3">
      <c r="A25" s="3">
        <v>45800</v>
      </c>
      <c r="B25" s="18">
        <v>200</v>
      </c>
      <c r="C25" s="18">
        <v>5400</v>
      </c>
      <c r="D25" s="18">
        <v>0</v>
      </c>
      <c r="E25" s="18">
        <v>5400</v>
      </c>
      <c r="F25" s="15">
        <f t="shared" si="0"/>
        <v>-200</v>
      </c>
      <c r="G25" s="19">
        <f t="shared" si="0"/>
        <v>0</v>
      </c>
      <c r="H25" s="20">
        <v>900</v>
      </c>
      <c r="I25" s="21">
        <v>3420</v>
      </c>
      <c r="J25" s="21">
        <v>9055</v>
      </c>
      <c r="K25" s="31">
        <f t="shared" si="1"/>
        <v>5600</v>
      </c>
      <c r="L25" s="26">
        <f t="shared" si="2"/>
        <v>-3220</v>
      </c>
      <c r="M25" s="25">
        <f t="shared" si="3"/>
        <v>-3655</v>
      </c>
      <c r="N25" t="s">
        <v>18</v>
      </c>
    </row>
    <row r="26" spans="1:14" x14ac:dyDescent="0.3">
      <c r="A26" s="3">
        <v>45801</v>
      </c>
      <c r="B26" s="18">
        <v>1850</v>
      </c>
      <c r="C26" s="18">
        <v>6310</v>
      </c>
      <c r="D26" s="18">
        <v>0</v>
      </c>
      <c r="E26" s="18">
        <v>6310</v>
      </c>
      <c r="F26" s="15">
        <f t="shared" si="0"/>
        <v>-1850</v>
      </c>
      <c r="G26" s="19">
        <f t="shared" si="0"/>
        <v>0</v>
      </c>
      <c r="H26" s="20">
        <v>1051.68</v>
      </c>
      <c r="I26" s="21">
        <v>0</v>
      </c>
      <c r="J26" s="21">
        <v>0</v>
      </c>
      <c r="K26" s="31">
        <f t="shared" si="1"/>
        <v>8160</v>
      </c>
      <c r="L26" s="26">
        <f t="shared" si="2"/>
        <v>1850</v>
      </c>
      <c r="M26" s="25">
        <f t="shared" si="3"/>
        <v>6310</v>
      </c>
    </row>
    <row r="27" spans="1:14" x14ac:dyDescent="0.3">
      <c r="A27" s="3">
        <v>45802</v>
      </c>
      <c r="B27" s="18">
        <v>0</v>
      </c>
      <c r="C27" s="18">
        <v>4960</v>
      </c>
      <c r="D27" s="18">
        <v>0</v>
      </c>
      <c r="E27" s="18">
        <v>4960</v>
      </c>
      <c r="F27" s="15">
        <f t="shared" si="0"/>
        <v>0</v>
      </c>
      <c r="G27" s="19">
        <v>0</v>
      </c>
      <c r="H27" s="20">
        <v>243.33</v>
      </c>
      <c r="I27" s="21">
        <v>100</v>
      </c>
      <c r="J27" s="21">
        <v>0</v>
      </c>
      <c r="K27" s="31">
        <f t="shared" si="1"/>
        <v>4960</v>
      </c>
      <c r="L27" s="26">
        <f t="shared" si="2"/>
        <v>-100</v>
      </c>
      <c r="M27" s="25">
        <f t="shared" si="3"/>
        <v>4960</v>
      </c>
    </row>
    <row r="28" spans="1:14" x14ac:dyDescent="0.3">
      <c r="A28" s="3">
        <v>45803</v>
      </c>
      <c r="B28" s="18">
        <v>850</v>
      </c>
      <c r="C28" s="18">
        <v>600</v>
      </c>
      <c r="D28" s="18">
        <v>0</v>
      </c>
      <c r="E28" s="18">
        <v>600</v>
      </c>
      <c r="F28" s="15">
        <f t="shared" si="0"/>
        <v>-850</v>
      </c>
      <c r="G28" s="19">
        <f t="shared" si="0"/>
        <v>0</v>
      </c>
      <c r="H28" s="20">
        <v>100</v>
      </c>
      <c r="I28" s="21">
        <v>1610</v>
      </c>
      <c r="J28" s="21">
        <v>0</v>
      </c>
      <c r="K28" s="31">
        <f t="shared" si="1"/>
        <v>1450</v>
      </c>
      <c r="L28" s="26">
        <f t="shared" si="2"/>
        <v>-760</v>
      </c>
      <c r="M28" s="25">
        <f t="shared" si="3"/>
        <v>600</v>
      </c>
    </row>
    <row r="29" spans="1:14" x14ac:dyDescent="0.3">
      <c r="A29" s="3">
        <v>45804</v>
      </c>
      <c r="B29" s="18">
        <v>400</v>
      </c>
      <c r="C29" s="18">
        <v>3140</v>
      </c>
      <c r="D29" s="18">
        <v>0</v>
      </c>
      <c r="E29" s="18">
        <v>3140</v>
      </c>
      <c r="F29" s="15">
        <f t="shared" si="0"/>
        <v>-400</v>
      </c>
      <c r="G29" s="19">
        <f t="shared" si="0"/>
        <v>0</v>
      </c>
      <c r="H29" s="20">
        <v>523.34</v>
      </c>
      <c r="I29" s="21">
        <v>0</v>
      </c>
      <c r="J29" s="21">
        <v>16210</v>
      </c>
      <c r="K29" s="31">
        <f t="shared" si="1"/>
        <v>3540</v>
      </c>
      <c r="L29" s="26">
        <f t="shared" si="2"/>
        <v>400</v>
      </c>
      <c r="M29" s="25">
        <f t="shared" si="3"/>
        <v>-13070</v>
      </c>
    </row>
    <row r="30" spans="1:14" x14ac:dyDescent="0.3">
      <c r="A30" s="3">
        <v>45805</v>
      </c>
      <c r="B30" s="18">
        <v>900</v>
      </c>
      <c r="C30" s="18">
        <v>5900</v>
      </c>
      <c r="D30" s="18">
        <v>0</v>
      </c>
      <c r="E30" s="18">
        <v>5900</v>
      </c>
      <c r="F30" s="15">
        <f t="shared" si="0"/>
        <v>-900</v>
      </c>
      <c r="G30" s="19">
        <f t="shared" si="0"/>
        <v>0</v>
      </c>
      <c r="H30" s="20">
        <v>911.69</v>
      </c>
      <c r="I30" s="21">
        <v>640</v>
      </c>
      <c r="J30" s="21">
        <v>370</v>
      </c>
      <c r="K30" s="31">
        <f t="shared" si="1"/>
        <v>6800</v>
      </c>
      <c r="L30" s="26">
        <f t="shared" si="2"/>
        <v>260</v>
      </c>
      <c r="M30" s="25">
        <f t="shared" si="3"/>
        <v>5530</v>
      </c>
    </row>
    <row r="31" spans="1:14" x14ac:dyDescent="0.3">
      <c r="A31" s="3">
        <v>45806</v>
      </c>
      <c r="B31" s="18">
        <v>250</v>
      </c>
      <c r="C31" s="18">
        <v>1910</v>
      </c>
      <c r="D31" s="18">
        <v>0</v>
      </c>
      <c r="E31" s="18">
        <v>1910</v>
      </c>
      <c r="F31" s="15">
        <f t="shared" si="0"/>
        <v>-250</v>
      </c>
      <c r="G31" s="19">
        <f t="shared" si="0"/>
        <v>0</v>
      </c>
      <c r="H31" s="20">
        <v>301.66000000000003</v>
      </c>
      <c r="I31" s="21">
        <v>620</v>
      </c>
      <c r="J31" s="21">
        <v>950</v>
      </c>
      <c r="K31" s="31">
        <f t="shared" si="1"/>
        <v>2160</v>
      </c>
      <c r="L31" s="26">
        <f t="shared" si="2"/>
        <v>-370</v>
      </c>
      <c r="M31" s="25">
        <f t="shared" si="3"/>
        <v>960</v>
      </c>
    </row>
    <row r="32" spans="1:14" x14ac:dyDescent="0.3">
      <c r="A32" s="3">
        <v>45807</v>
      </c>
      <c r="B32" s="18">
        <v>350</v>
      </c>
      <c r="C32" s="18">
        <v>5885</v>
      </c>
      <c r="D32" s="18">
        <v>0</v>
      </c>
      <c r="E32" s="18">
        <v>5885</v>
      </c>
      <c r="F32" s="15">
        <f t="shared" si="0"/>
        <v>-350</v>
      </c>
      <c r="G32" s="19">
        <f t="shared" si="0"/>
        <v>0</v>
      </c>
      <c r="H32" s="20">
        <v>717.5</v>
      </c>
      <c r="I32" s="21">
        <v>490</v>
      </c>
      <c r="J32" s="21">
        <v>855</v>
      </c>
      <c r="K32" s="31">
        <f t="shared" si="1"/>
        <v>6235</v>
      </c>
      <c r="L32" s="26">
        <f t="shared" si="2"/>
        <v>-140</v>
      </c>
      <c r="M32" s="25">
        <f t="shared" si="3"/>
        <v>5030</v>
      </c>
    </row>
    <row r="33" spans="1:14" x14ac:dyDescent="0.3">
      <c r="A33" s="3">
        <v>45808</v>
      </c>
      <c r="B33" s="18">
        <v>1170</v>
      </c>
      <c r="C33" s="18">
        <v>4740</v>
      </c>
      <c r="D33" s="18">
        <v>0</v>
      </c>
      <c r="E33" s="18">
        <v>4740</v>
      </c>
      <c r="F33" s="15">
        <f t="shared" si="0"/>
        <v>-1170</v>
      </c>
      <c r="G33" s="19">
        <f t="shared" si="0"/>
        <v>0</v>
      </c>
      <c r="H33" s="20">
        <v>769.17</v>
      </c>
      <c r="I33" s="21">
        <v>495</v>
      </c>
      <c r="J33" s="33">
        <v>1560</v>
      </c>
      <c r="K33" s="31">
        <f t="shared" si="1"/>
        <v>5910</v>
      </c>
      <c r="L33" s="26">
        <f t="shared" si="2"/>
        <v>675</v>
      </c>
      <c r="M33" s="25">
        <f t="shared" si="3"/>
        <v>3180</v>
      </c>
    </row>
    <row r="34" spans="1:14" s="8" customFormat="1" ht="27.6" customHeight="1" x14ac:dyDescent="0.35">
      <c r="A34" s="7" t="s">
        <v>4</v>
      </c>
      <c r="B34" s="22">
        <f>SUM(B3:B33)</f>
        <v>33230</v>
      </c>
      <c r="C34" s="22">
        <f>SUM(C3:C33)</f>
        <v>120195</v>
      </c>
      <c r="D34" s="22"/>
      <c r="E34" s="22">
        <f t="shared" ref="E34:M34" si="4">SUM(E3:E33)</f>
        <v>120195</v>
      </c>
      <c r="F34" s="15">
        <f t="shared" si="4"/>
        <v>-32030</v>
      </c>
      <c r="G34" s="23">
        <f t="shared" si="4"/>
        <v>0</v>
      </c>
      <c r="H34" s="24" t="s">
        <v>17</v>
      </c>
      <c r="I34" s="24">
        <f t="shared" si="4"/>
        <v>30720</v>
      </c>
      <c r="J34" s="24">
        <f t="shared" si="4"/>
        <v>98603</v>
      </c>
      <c r="K34" s="32">
        <f t="shared" si="4"/>
        <v>153425</v>
      </c>
      <c r="L34" s="27">
        <f t="shared" si="4"/>
        <v>2510</v>
      </c>
      <c r="M34" s="27">
        <f t="shared" si="4"/>
        <v>21045</v>
      </c>
      <c r="N34" s="13"/>
    </row>
    <row r="35" spans="1:14" x14ac:dyDescent="0.3">
      <c r="K35" s="34"/>
    </row>
    <row r="37" spans="1:14" ht="18" x14ac:dyDescent="0.3">
      <c r="G37" s="51" t="s">
        <v>14</v>
      </c>
      <c r="H37" s="51"/>
      <c r="I37" s="12">
        <f>SUM(K3:K33)</f>
        <v>153425</v>
      </c>
    </row>
    <row r="38" spans="1:14" ht="18" x14ac:dyDescent="0.3">
      <c r="G38" s="51" t="s">
        <v>16</v>
      </c>
      <c r="H38" s="51"/>
      <c r="I38" s="12">
        <f>SUM(+I34+J34)</f>
        <v>129323</v>
      </c>
    </row>
    <row r="39" spans="1:14" ht="18" x14ac:dyDescent="0.3">
      <c r="G39" s="51" t="s">
        <v>15</v>
      </c>
      <c r="H39" s="51"/>
      <c r="I39" s="12">
        <f>SUM(L34+M34)</f>
        <v>23555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9"/>
  <sheetViews>
    <sheetView topLeftCell="A20" workbookViewId="0">
      <selection activeCell="H45" sqref="H45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">
        <v>45748</v>
      </c>
      <c r="B3" s="14">
        <v>1120</v>
      </c>
      <c r="C3" s="14">
        <v>1860</v>
      </c>
      <c r="D3" s="14">
        <v>0</v>
      </c>
      <c r="E3" s="14">
        <v>1860</v>
      </c>
      <c r="F3" s="15">
        <f>SUM(D3-B3)</f>
        <v>-1120</v>
      </c>
      <c r="G3" s="15">
        <f>SUM(E3-C3)</f>
        <v>0</v>
      </c>
      <c r="H3" s="16">
        <v>310.01</v>
      </c>
      <c r="I3" s="17">
        <v>100</v>
      </c>
      <c r="J3" s="17">
        <v>2320</v>
      </c>
      <c r="K3" s="31">
        <f>SUM(B3:C3)</f>
        <v>2980</v>
      </c>
      <c r="L3" s="25">
        <f>SUM(B3-I3)</f>
        <v>1020</v>
      </c>
      <c r="M3" s="25">
        <f>SUM(E3-J3)</f>
        <v>-460</v>
      </c>
    </row>
    <row r="4" spans="1:14" x14ac:dyDescent="0.3">
      <c r="A4" s="3">
        <v>45749</v>
      </c>
      <c r="B4" s="18">
        <v>1350</v>
      </c>
      <c r="C4" s="18">
        <v>750</v>
      </c>
      <c r="D4" s="18">
        <v>0</v>
      </c>
      <c r="E4" s="18">
        <v>750</v>
      </c>
      <c r="F4" s="15">
        <f t="shared" ref="F4:G33" si="0">SUM(D4-B4)</f>
        <v>-1350</v>
      </c>
      <c r="G4" s="19">
        <f t="shared" si="0"/>
        <v>0</v>
      </c>
      <c r="H4" s="20">
        <v>125</v>
      </c>
      <c r="I4" s="21">
        <v>950</v>
      </c>
      <c r="J4" s="21">
        <v>16265</v>
      </c>
      <c r="K4" s="31">
        <f t="shared" ref="K4:K33" si="1">SUM(B4:C4)</f>
        <v>2100</v>
      </c>
      <c r="L4" s="26">
        <f t="shared" ref="L4:L33" si="2">SUM(B4-I4)</f>
        <v>400</v>
      </c>
      <c r="M4" s="25">
        <f t="shared" ref="M4:M33" si="3">SUM(E4-J4)</f>
        <v>-15515</v>
      </c>
    </row>
    <row r="5" spans="1:14" x14ac:dyDescent="0.3">
      <c r="A5" s="3">
        <v>45750</v>
      </c>
      <c r="B5" s="18">
        <v>2450</v>
      </c>
      <c r="C5" s="18">
        <v>1930</v>
      </c>
      <c r="D5" s="18">
        <v>0</v>
      </c>
      <c r="E5" s="18">
        <v>1930</v>
      </c>
      <c r="F5" s="15">
        <f t="shared" si="0"/>
        <v>-2450</v>
      </c>
      <c r="G5" s="19">
        <f t="shared" si="0"/>
        <v>0</v>
      </c>
      <c r="H5" s="20">
        <v>321.66000000000003</v>
      </c>
      <c r="I5" s="21">
        <v>1000</v>
      </c>
      <c r="J5" s="21">
        <v>0</v>
      </c>
      <c r="K5" s="31">
        <f t="shared" si="1"/>
        <v>4380</v>
      </c>
      <c r="L5" s="26">
        <f t="shared" si="2"/>
        <v>1450</v>
      </c>
      <c r="M5" s="25">
        <f t="shared" si="3"/>
        <v>1930</v>
      </c>
    </row>
    <row r="6" spans="1:14" x14ac:dyDescent="0.3">
      <c r="A6" s="3">
        <v>45751</v>
      </c>
      <c r="B6" s="18">
        <v>2450</v>
      </c>
      <c r="C6" s="18">
        <v>1425</v>
      </c>
      <c r="D6" s="18">
        <v>0</v>
      </c>
      <c r="E6" s="18">
        <v>1425</v>
      </c>
      <c r="F6" s="15">
        <f t="shared" si="0"/>
        <v>-2450</v>
      </c>
      <c r="G6" s="19">
        <f t="shared" si="0"/>
        <v>0</v>
      </c>
      <c r="H6" s="20">
        <v>237.5</v>
      </c>
      <c r="I6" s="21">
        <v>260</v>
      </c>
      <c r="J6" s="21">
        <v>0</v>
      </c>
      <c r="K6" s="31">
        <f t="shared" si="1"/>
        <v>3875</v>
      </c>
      <c r="L6" s="26">
        <f t="shared" si="2"/>
        <v>2190</v>
      </c>
      <c r="M6" s="25">
        <f t="shared" si="3"/>
        <v>1425</v>
      </c>
    </row>
    <row r="7" spans="1:14" x14ac:dyDescent="0.3">
      <c r="A7" s="3">
        <v>45752</v>
      </c>
      <c r="B7" s="18">
        <v>1950</v>
      </c>
      <c r="C7" s="18">
        <v>1650</v>
      </c>
      <c r="D7" s="18">
        <v>0</v>
      </c>
      <c r="E7" s="18">
        <v>1650</v>
      </c>
      <c r="F7" s="15">
        <f t="shared" si="0"/>
        <v>-1950</v>
      </c>
      <c r="G7" s="19">
        <f t="shared" si="0"/>
        <v>0</v>
      </c>
      <c r="H7" s="20">
        <v>275</v>
      </c>
      <c r="I7" s="21">
        <v>120</v>
      </c>
      <c r="J7" s="21">
        <v>0</v>
      </c>
      <c r="K7" s="31">
        <f t="shared" si="1"/>
        <v>3600</v>
      </c>
      <c r="L7" s="26">
        <f t="shared" si="2"/>
        <v>1830</v>
      </c>
      <c r="M7" s="25">
        <f t="shared" si="3"/>
        <v>1650</v>
      </c>
    </row>
    <row r="8" spans="1:14" x14ac:dyDescent="0.3">
      <c r="A8" s="3">
        <v>45753</v>
      </c>
      <c r="B8" s="18">
        <v>1550</v>
      </c>
      <c r="C8" s="18">
        <v>3510</v>
      </c>
      <c r="D8" s="18">
        <v>0</v>
      </c>
      <c r="E8" s="18">
        <v>3510</v>
      </c>
      <c r="F8" s="15">
        <f t="shared" si="0"/>
        <v>-1550</v>
      </c>
      <c r="G8" s="19">
        <v>0</v>
      </c>
      <c r="H8" s="20">
        <v>585</v>
      </c>
      <c r="I8" s="21">
        <v>150</v>
      </c>
      <c r="J8" s="21">
        <v>0</v>
      </c>
      <c r="K8" s="31">
        <f t="shared" si="1"/>
        <v>5060</v>
      </c>
      <c r="L8" s="26">
        <f t="shared" si="2"/>
        <v>1400</v>
      </c>
      <c r="M8" s="25">
        <f t="shared" si="3"/>
        <v>3510</v>
      </c>
    </row>
    <row r="9" spans="1:14" x14ac:dyDescent="0.3">
      <c r="A9" s="3">
        <v>45754</v>
      </c>
      <c r="B9" s="18">
        <v>1450</v>
      </c>
      <c r="C9" s="18">
        <v>1100</v>
      </c>
      <c r="D9" s="18">
        <v>0</v>
      </c>
      <c r="E9" s="18">
        <v>1100</v>
      </c>
      <c r="F9" s="15">
        <f t="shared" si="0"/>
        <v>-1450</v>
      </c>
      <c r="G9" s="19">
        <f t="shared" si="0"/>
        <v>0</v>
      </c>
      <c r="H9" s="20">
        <v>183.34</v>
      </c>
      <c r="I9" s="21">
        <v>1970</v>
      </c>
      <c r="J9" s="21">
        <v>0</v>
      </c>
      <c r="K9" s="31">
        <f t="shared" si="1"/>
        <v>2550</v>
      </c>
      <c r="L9" s="26">
        <f t="shared" si="2"/>
        <v>-520</v>
      </c>
      <c r="M9" s="25">
        <f t="shared" si="3"/>
        <v>1100</v>
      </c>
    </row>
    <row r="10" spans="1:14" x14ac:dyDescent="0.3">
      <c r="A10" s="3">
        <v>45755</v>
      </c>
      <c r="B10" s="18">
        <v>750</v>
      </c>
      <c r="C10" s="18">
        <v>1995</v>
      </c>
      <c r="D10" s="18">
        <v>0</v>
      </c>
      <c r="E10" s="18">
        <v>1995</v>
      </c>
      <c r="F10" s="15">
        <f t="shared" si="0"/>
        <v>-750</v>
      </c>
      <c r="G10" s="19">
        <f t="shared" si="0"/>
        <v>0</v>
      </c>
      <c r="H10" s="20">
        <v>332.49</v>
      </c>
      <c r="I10" s="21">
        <v>420</v>
      </c>
      <c r="J10" s="21">
        <v>6620</v>
      </c>
      <c r="K10" s="31">
        <f t="shared" si="1"/>
        <v>2745</v>
      </c>
      <c r="L10" s="26">
        <f t="shared" si="2"/>
        <v>330</v>
      </c>
      <c r="M10" s="25">
        <f t="shared" si="3"/>
        <v>-4625</v>
      </c>
    </row>
    <row r="11" spans="1:14" x14ac:dyDescent="0.3">
      <c r="A11" s="3">
        <v>45756</v>
      </c>
      <c r="B11" s="18">
        <v>690</v>
      </c>
      <c r="C11" s="18">
        <v>2620</v>
      </c>
      <c r="D11" s="18">
        <v>0</v>
      </c>
      <c r="E11" s="18">
        <v>2620</v>
      </c>
      <c r="F11" s="15">
        <f t="shared" si="0"/>
        <v>-690</v>
      </c>
      <c r="G11" s="19">
        <f t="shared" si="0"/>
        <v>0</v>
      </c>
      <c r="H11" s="20">
        <v>436.67</v>
      </c>
      <c r="I11" s="21">
        <v>580</v>
      </c>
      <c r="J11" s="21">
        <v>0</v>
      </c>
      <c r="K11" s="31">
        <f t="shared" si="1"/>
        <v>3310</v>
      </c>
      <c r="L11" s="26">
        <f t="shared" si="2"/>
        <v>110</v>
      </c>
      <c r="M11" s="25">
        <f t="shared" si="3"/>
        <v>2620</v>
      </c>
    </row>
    <row r="12" spans="1:14" x14ac:dyDescent="0.3">
      <c r="A12" s="3">
        <v>45757</v>
      </c>
      <c r="B12" s="18">
        <v>1500</v>
      </c>
      <c r="C12" s="18">
        <v>2420</v>
      </c>
      <c r="D12" s="18">
        <v>0</v>
      </c>
      <c r="E12" s="18">
        <v>2420</v>
      </c>
      <c r="F12" s="15">
        <f t="shared" si="0"/>
        <v>-1500</v>
      </c>
      <c r="G12" s="19">
        <f t="shared" si="0"/>
        <v>0</v>
      </c>
      <c r="H12" s="20">
        <v>236.66</v>
      </c>
      <c r="I12" s="21">
        <v>11720</v>
      </c>
      <c r="J12" s="21">
        <v>8400</v>
      </c>
      <c r="K12" s="31">
        <f t="shared" si="1"/>
        <v>3920</v>
      </c>
      <c r="L12" s="26">
        <f t="shared" si="2"/>
        <v>-10220</v>
      </c>
      <c r="M12" s="25">
        <f t="shared" si="3"/>
        <v>-5980</v>
      </c>
      <c r="N12" t="s">
        <v>17</v>
      </c>
    </row>
    <row r="13" spans="1:14" x14ac:dyDescent="0.3">
      <c r="A13" s="3">
        <v>45758</v>
      </c>
      <c r="B13" s="18">
        <v>1530</v>
      </c>
      <c r="C13" s="18">
        <v>3310</v>
      </c>
      <c r="D13" s="18">
        <v>0</v>
      </c>
      <c r="E13" s="18">
        <v>3310</v>
      </c>
      <c r="F13" s="15">
        <f t="shared" si="0"/>
        <v>-1530</v>
      </c>
      <c r="G13" s="19">
        <f t="shared" si="0"/>
        <v>0</v>
      </c>
      <c r="H13" s="20">
        <v>400</v>
      </c>
      <c r="I13" s="21">
        <v>245</v>
      </c>
      <c r="J13" s="21">
        <v>0</v>
      </c>
      <c r="K13" s="31">
        <f t="shared" si="1"/>
        <v>4840</v>
      </c>
      <c r="L13" s="26">
        <f t="shared" si="2"/>
        <v>1285</v>
      </c>
      <c r="M13" s="25">
        <f t="shared" si="3"/>
        <v>3310</v>
      </c>
    </row>
    <row r="14" spans="1:14" x14ac:dyDescent="0.3">
      <c r="A14" s="3">
        <v>45759</v>
      </c>
      <c r="B14" s="18">
        <v>800</v>
      </c>
      <c r="C14" s="18">
        <v>4910</v>
      </c>
      <c r="D14" s="18">
        <v>0</v>
      </c>
      <c r="E14" s="18">
        <v>4910</v>
      </c>
      <c r="F14" s="15">
        <f t="shared" si="0"/>
        <v>-800</v>
      </c>
      <c r="G14" s="19">
        <f t="shared" si="0"/>
        <v>0</v>
      </c>
      <c r="H14" s="20">
        <v>785</v>
      </c>
      <c r="I14" s="21">
        <v>100</v>
      </c>
      <c r="J14" s="21">
        <v>0</v>
      </c>
      <c r="K14" s="31">
        <f t="shared" si="1"/>
        <v>5710</v>
      </c>
      <c r="L14" s="26">
        <f t="shared" si="2"/>
        <v>700</v>
      </c>
      <c r="M14" s="25">
        <f t="shared" si="3"/>
        <v>4910</v>
      </c>
    </row>
    <row r="15" spans="1:14" x14ac:dyDescent="0.3">
      <c r="A15" s="3">
        <v>45760</v>
      </c>
      <c r="B15" s="18">
        <v>360</v>
      </c>
      <c r="C15" s="18">
        <v>1980</v>
      </c>
      <c r="D15" s="18">
        <v>0</v>
      </c>
      <c r="E15" s="18">
        <v>1980</v>
      </c>
      <c r="F15" s="15">
        <f t="shared" si="0"/>
        <v>-360</v>
      </c>
      <c r="G15" s="19">
        <f t="shared" si="0"/>
        <v>0</v>
      </c>
      <c r="H15" s="20">
        <v>330</v>
      </c>
      <c r="I15" s="21">
        <v>0</v>
      </c>
      <c r="J15" s="21">
        <v>275</v>
      </c>
      <c r="K15" s="31">
        <f t="shared" si="1"/>
        <v>2340</v>
      </c>
      <c r="L15" s="26">
        <f t="shared" si="2"/>
        <v>360</v>
      </c>
      <c r="M15" s="25">
        <f t="shared" si="3"/>
        <v>1705</v>
      </c>
    </row>
    <row r="16" spans="1:14" x14ac:dyDescent="0.3">
      <c r="A16" s="3">
        <v>45761</v>
      </c>
      <c r="B16" s="18">
        <v>400</v>
      </c>
      <c r="C16" s="18">
        <v>765</v>
      </c>
      <c r="D16" s="18">
        <v>0</v>
      </c>
      <c r="E16" s="18">
        <v>765</v>
      </c>
      <c r="F16" s="15">
        <f t="shared" si="0"/>
        <v>-400</v>
      </c>
      <c r="G16" s="19">
        <f t="shared" si="0"/>
        <v>0</v>
      </c>
      <c r="H16" s="20">
        <v>127.5</v>
      </c>
      <c r="I16" s="21">
        <v>0</v>
      </c>
      <c r="J16" s="21">
        <v>6328</v>
      </c>
      <c r="K16" s="31">
        <f t="shared" si="1"/>
        <v>1165</v>
      </c>
      <c r="L16" s="26">
        <f t="shared" si="2"/>
        <v>400</v>
      </c>
      <c r="M16" s="25">
        <f t="shared" si="3"/>
        <v>-5563</v>
      </c>
    </row>
    <row r="17" spans="1:14" x14ac:dyDescent="0.3">
      <c r="A17" s="3">
        <v>45762</v>
      </c>
      <c r="B17" s="18">
        <v>1500</v>
      </c>
      <c r="C17" s="18">
        <v>1455</v>
      </c>
      <c r="D17" s="18">
        <v>0</v>
      </c>
      <c r="E17" s="18">
        <v>1455</v>
      </c>
      <c r="F17" s="15">
        <f t="shared" si="0"/>
        <v>-1500</v>
      </c>
      <c r="G17" s="19">
        <f t="shared" si="0"/>
        <v>0</v>
      </c>
      <c r="H17" s="20">
        <v>242.5</v>
      </c>
      <c r="I17" s="21">
        <v>2200</v>
      </c>
      <c r="J17" s="21">
        <v>4700</v>
      </c>
      <c r="K17" s="31">
        <f t="shared" si="1"/>
        <v>2955</v>
      </c>
      <c r="L17" s="26">
        <f t="shared" si="2"/>
        <v>-700</v>
      </c>
      <c r="M17" s="25">
        <f t="shared" si="3"/>
        <v>-3245</v>
      </c>
    </row>
    <row r="18" spans="1:14" x14ac:dyDescent="0.3">
      <c r="A18" s="3">
        <v>45763</v>
      </c>
      <c r="B18" s="18">
        <v>2170</v>
      </c>
      <c r="C18" s="18">
        <v>1660</v>
      </c>
      <c r="D18" s="18">
        <v>0</v>
      </c>
      <c r="E18" s="18">
        <v>1660</v>
      </c>
      <c r="F18" s="15">
        <f t="shared" si="0"/>
        <v>-2170</v>
      </c>
      <c r="G18" s="19">
        <f t="shared" si="0"/>
        <v>0</v>
      </c>
      <c r="H18" s="20">
        <v>276.67</v>
      </c>
      <c r="I18" s="21">
        <v>300</v>
      </c>
      <c r="J18" s="21">
        <v>1636</v>
      </c>
      <c r="K18" s="31">
        <f t="shared" si="1"/>
        <v>3830</v>
      </c>
      <c r="L18" s="26">
        <f t="shared" si="2"/>
        <v>1870</v>
      </c>
      <c r="M18" s="25">
        <f t="shared" si="3"/>
        <v>24</v>
      </c>
    </row>
    <row r="19" spans="1:14" x14ac:dyDescent="0.3">
      <c r="A19" s="3">
        <v>45764</v>
      </c>
      <c r="B19" s="18">
        <v>780</v>
      </c>
      <c r="C19" s="18">
        <v>4850</v>
      </c>
      <c r="D19" s="18">
        <v>0</v>
      </c>
      <c r="E19" s="18">
        <v>4850</v>
      </c>
      <c r="F19" s="15">
        <f t="shared" si="0"/>
        <v>-780</v>
      </c>
      <c r="G19" s="19">
        <f t="shared" si="0"/>
        <v>0</v>
      </c>
      <c r="H19" s="20">
        <v>758.33</v>
      </c>
      <c r="I19" s="21">
        <v>190</v>
      </c>
      <c r="J19" s="21">
        <v>200</v>
      </c>
      <c r="K19" s="31">
        <f t="shared" si="1"/>
        <v>5630</v>
      </c>
      <c r="L19" s="26">
        <f t="shared" si="2"/>
        <v>590</v>
      </c>
      <c r="M19" s="25">
        <f t="shared" si="3"/>
        <v>4650</v>
      </c>
    </row>
    <row r="20" spans="1:14" x14ac:dyDescent="0.3">
      <c r="A20" s="3">
        <v>45765</v>
      </c>
      <c r="B20" s="18">
        <v>1300</v>
      </c>
      <c r="C20" s="18">
        <v>5130</v>
      </c>
      <c r="D20" s="18">
        <v>0</v>
      </c>
      <c r="E20" s="18">
        <v>5130</v>
      </c>
      <c r="F20" s="15">
        <f t="shared" si="0"/>
        <v>-1300</v>
      </c>
      <c r="G20" s="19">
        <f t="shared" si="0"/>
        <v>0</v>
      </c>
      <c r="H20" s="20">
        <v>854.99</v>
      </c>
      <c r="I20" s="21">
        <v>430</v>
      </c>
      <c r="J20" s="21">
        <v>955</v>
      </c>
      <c r="K20" s="31">
        <f t="shared" si="1"/>
        <v>6430</v>
      </c>
      <c r="L20" s="26">
        <f t="shared" si="2"/>
        <v>870</v>
      </c>
      <c r="M20" s="25">
        <f t="shared" si="3"/>
        <v>4175</v>
      </c>
    </row>
    <row r="21" spans="1:14" x14ac:dyDescent="0.3">
      <c r="A21" s="3">
        <v>45766</v>
      </c>
      <c r="B21" s="18">
        <v>1200</v>
      </c>
      <c r="C21" s="18">
        <v>8595</v>
      </c>
      <c r="D21" s="18">
        <v>0</v>
      </c>
      <c r="E21" s="18">
        <v>8595</v>
      </c>
      <c r="F21" s="15">
        <f t="shared" si="0"/>
        <v>-1200</v>
      </c>
      <c r="G21" s="19">
        <f t="shared" si="0"/>
        <v>0</v>
      </c>
      <c r="H21" s="20">
        <v>1432.49</v>
      </c>
      <c r="I21" s="21">
        <v>775</v>
      </c>
      <c r="J21" s="21">
        <v>0</v>
      </c>
      <c r="K21" s="31">
        <f t="shared" si="1"/>
        <v>9795</v>
      </c>
      <c r="L21" s="26">
        <f t="shared" si="2"/>
        <v>425</v>
      </c>
      <c r="M21" s="25">
        <f t="shared" si="3"/>
        <v>8595</v>
      </c>
    </row>
    <row r="22" spans="1:14" x14ac:dyDescent="0.3">
      <c r="A22" s="3">
        <v>45767</v>
      </c>
      <c r="B22" s="18">
        <v>650</v>
      </c>
      <c r="C22" s="18">
        <v>2580</v>
      </c>
      <c r="D22" s="18">
        <v>0</v>
      </c>
      <c r="E22" s="18">
        <v>2580</v>
      </c>
      <c r="F22" s="15">
        <f t="shared" si="0"/>
        <v>-650</v>
      </c>
      <c r="G22" s="19">
        <f t="shared" si="0"/>
        <v>0</v>
      </c>
      <c r="H22" s="20">
        <v>430</v>
      </c>
      <c r="I22" s="21">
        <v>1200</v>
      </c>
      <c r="J22" s="21">
        <v>0</v>
      </c>
      <c r="K22" s="31">
        <f t="shared" si="1"/>
        <v>3230</v>
      </c>
      <c r="L22" s="26">
        <f t="shared" si="2"/>
        <v>-550</v>
      </c>
      <c r="M22" s="25">
        <f t="shared" si="3"/>
        <v>2580</v>
      </c>
    </row>
    <row r="23" spans="1:14" x14ac:dyDescent="0.3">
      <c r="A23" s="3">
        <v>45768</v>
      </c>
      <c r="B23" s="18">
        <v>50</v>
      </c>
      <c r="C23" s="18">
        <v>2920</v>
      </c>
      <c r="D23" s="18">
        <v>0</v>
      </c>
      <c r="E23" s="18">
        <v>2920</v>
      </c>
      <c r="F23" s="15">
        <f t="shared" si="0"/>
        <v>-50</v>
      </c>
      <c r="G23" s="19">
        <f t="shared" si="0"/>
        <v>0</v>
      </c>
      <c r="H23" s="20">
        <v>408.33</v>
      </c>
      <c r="I23" s="21">
        <v>1650</v>
      </c>
      <c r="J23" s="21">
        <v>20675</v>
      </c>
      <c r="K23" s="31">
        <f t="shared" si="1"/>
        <v>2970</v>
      </c>
      <c r="L23" s="26">
        <f t="shared" si="2"/>
        <v>-1600</v>
      </c>
      <c r="M23" s="25">
        <f t="shared" si="3"/>
        <v>-17755</v>
      </c>
    </row>
    <row r="24" spans="1:14" x14ac:dyDescent="0.3">
      <c r="A24" s="3">
        <v>45769</v>
      </c>
      <c r="B24" s="18">
        <v>420</v>
      </c>
      <c r="C24" s="18">
        <v>4300</v>
      </c>
      <c r="D24" s="18">
        <v>0</v>
      </c>
      <c r="E24" s="18">
        <v>4300</v>
      </c>
      <c r="F24" s="15">
        <f t="shared" si="0"/>
        <v>-420</v>
      </c>
      <c r="G24" s="19">
        <f t="shared" si="0"/>
        <v>0</v>
      </c>
      <c r="H24" s="20">
        <v>700.01</v>
      </c>
      <c r="I24" s="21">
        <v>90</v>
      </c>
      <c r="J24" s="21">
        <v>220</v>
      </c>
      <c r="K24" s="31">
        <f t="shared" si="1"/>
        <v>4720</v>
      </c>
      <c r="L24" s="26">
        <f t="shared" si="2"/>
        <v>330</v>
      </c>
      <c r="M24" s="25">
        <f t="shared" si="3"/>
        <v>4080</v>
      </c>
    </row>
    <row r="25" spans="1:14" x14ac:dyDescent="0.3">
      <c r="A25" s="3">
        <v>45770</v>
      </c>
      <c r="B25" s="18">
        <v>1750</v>
      </c>
      <c r="C25" s="18">
        <v>3610</v>
      </c>
      <c r="D25" s="18">
        <v>0</v>
      </c>
      <c r="E25" s="18">
        <v>3610</v>
      </c>
      <c r="F25" s="15">
        <f t="shared" si="0"/>
        <v>-1750</v>
      </c>
      <c r="G25" s="19">
        <f t="shared" si="0"/>
        <v>0</v>
      </c>
      <c r="H25" s="20">
        <v>601.67999999999995</v>
      </c>
      <c r="I25" s="21">
        <v>200</v>
      </c>
      <c r="J25" s="21">
        <v>200</v>
      </c>
      <c r="K25" s="31">
        <f t="shared" si="1"/>
        <v>5360</v>
      </c>
      <c r="L25" s="26">
        <f t="shared" si="2"/>
        <v>1550</v>
      </c>
      <c r="M25" s="25">
        <f t="shared" si="3"/>
        <v>3410</v>
      </c>
      <c r="N25" t="s">
        <v>18</v>
      </c>
    </row>
    <row r="26" spans="1:14" x14ac:dyDescent="0.3">
      <c r="A26" s="3">
        <v>45771</v>
      </c>
      <c r="B26" s="18">
        <v>1450</v>
      </c>
      <c r="C26" s="18">
        <v>900</v>
      </c>
      <c r="D26" s="18">
        <v>0</v>
      </c>
      <c r="E26" s="18">
        <v>900</v>
      </c>
      <c r="F26" s="15">
        <f t="shared" si="0"/>
        <v>-1450</v>
      </c>
      <c r="G26" s="19">
        <f t="shared" si="0"/>
        <v>0</v>
      </c>
      <c r="H26" s="20">
        <v>103.33</v>
      </c>
      <c r="I26" s="21">
        <v>95</v>
      </c>
      <c r="J26" s="21">
        <v>7905</v>
      </c>
      <c r="K26" s="31">
        <f t="shared" si="1"/>
        <v>2350</v>
      </c>
      <c r="L26" s="26">
        <f t="shared" si="2"/>
        <v>1355</v>
      </c>
      <c r="M26" s="25">
        <f t="shared" si="3"/>
        <v>-7005</v>
      </c>
    </row>
    <row r="27" spans="1:14" x14ac:dyDescent="0.3">
      <c r="A27" s="3">
        <v>45772</v>
      </c>
      <c r="B27" s="18">
        <v>1060</v>
      </c>
      <c r="C27" s="18">
        <v>2900</v>
      </c>
      <c r="D27" s="18">
        <v>0</v>
      </c>
      <c r="E27" s="18">
        <v>2900</v>
      </c>
      <c r="F27" s="15">
        <f t="shared" si="0"/>
        <v>-1060</v>
      </c>
      <c r="G27" s="19">
        <v>0</v>
      </c>
      <c r="H27" s="20">
        <v>483.33</v>
      </c>
      <c r="I27" s="21">
        <v>450</v>
      </c>
      <c r="J27" s="21">
        <v>400</v>
      </c>
      <c r="K27" s="31">
        <f t="shared" si="1"/>
        <v>3960</v>
      </c>
      <c r="L27" s="26">
        <f t="shared" si="2"/>
        <v>610</v>
      </c>
      <c r="M27" s="25">
        <f t="shared" si="3"/>
        <v>2500</v>
      </c>
    </row>
    <row r="28" spans="1:14" x14ac:dyDescent="0.3">
      <c r="A28" s="3">
        <v>45773</v>
      </c>
      <c r="B28" s="18">
        <v>1870</v>
      </c>
      <c r="C28" s="18">
        <v>2440</v>
      </c>
      <c r="D28" s="18">
        <v>0</v>
      </c>
      <c r="E28" s="18">
        <v>2440</v>
      </c>
      <c r="F28" s="15">
        <f t="shared" si="0"/>
        <v>-1870</v>
      </c>
      <c r="G28" s="19">
        <f t="shared" si="0"/>
        <v>0</v>
      </c>
      <c r="H28" s="20">
        <v>406.66</v>
      </c>
      <c r="I28" s="21">
        <v>1640</v>
      </c>
      <c r="J28" s="21">
        <v>465</v>
      </c>
      <c r="K28" s="31">
        <f t="shared" si="1"/>
        <v>4310</v>
      </c>
      <c r="L28" s="26">
        <f t="shared" si="2"/>
        <v>230</v>
      </c>
      <c r="M28" s="25">
        <f t="shared" si="3"/>
        <v>1975</v>
      </c>
    </row>
    <row r="29" spans="1:14" x14ac:dyDescent="0.3">
      <c r="A29" s="3">
        <v>45774</v>
      </c>
      <c r="B29" s="18">
        <v>270</v>
      </c>
      <c r="C29" s="18">
        <v>4180</v>
      </c>
      <c r="D29" s="18">
        <v>0</v>
      </c>
      <c r="E29" s="18">
        <v>4180</v>
      </c>
      <c r="F29" s="15">
        <f t="shared" si="0"/>
        <v>-270</v>
      </c>
      <c r="G29" s="19">
        <f t="shared" si="0"/>
        <v>0</v>
      </c>
      <c r="H29" s="20">
        <v>741.66</v>
      </c>
      <c r="I29" s="21">
        <v>330</v>
      </c>
      <c r="J29" s="21">
        <v>1615</v>
      </c>
      <c r="K29" s="31">
        <f t="shared" si="1"/>
        <v>4450</v>
      </c>
      <c r="L29" s="26">
        <f t="shared" si="2"/>
        <v>-60</v>
      </c>
      <c r="M29" s="25">
        <f t="shared" si="3"/>
        <v>2565</v>
      </c>
    </row>
    <row r="30" spans="1:14" x14ac:dyDescent="0.3">
      <c r="A30" s="3">
        <v>45775</v>
      </c>
      <c r="B30" s="18">
        <v>1270</v>
      </c>
      <c r="C30" s="18">
        <v>3610</v>
      </c>
      <c r="D30" s="18">
        <v>0</v>
      </c>
      <c r="E30" s="18">
        <v>3610</v>
      </c>
      <c r="F30" s="15">
        <f t="shared" si="0"/>
        <v>-1270</v>
      </c>
      <c r="G30" s="19">
        <f t="shared" si="0"/>
        <v>0</v>
      </c>
      <c r="H30" s="20">
        <v>601.69000000000005</v>
      </c>
      <c r="I30" s="21">
        <v>790</v>
      </c>
      <c r="J30" s="21">
        <v>7760</v>
      </c>
      <c r="K30" s="31">
        <f t="shared" si="1"/>
        <v>4880</v>
      </c>
      <c r="L30" s="26">
        <f t="shared" si="2"/>
        <v>480</v>
      </c>
      <c r="M30" s="25">
        <f t="shared" si="3"/>
        <v>-4150</v>
      </c>
    </row>
    <row r="31" spans="1:14" x14ac:dyDescent="0.3">
      <c r="A31" s="3">
        <v>45776</v>
      </c>
      <c r="B31" s="18">
        <v>1300</v>
      </c>
      <c r="C31" s="18">
        <v>750</v>
      </c>
      <c r="D31" s="18">
        <v>0</v>
      </c>
      <c r="E31" s="18">
        <v>750</v>
      </c>
      <c r="F31" s="15">
        <f t="shared" si="0"/>
        <v>-1300</v>
      </c>
      <c r="G31" s="19">
        <f t="shared" si="0"/>
        <v>0</v>
      </c>
      <c r="H31" s="20">
        <v>141.68</v>
      </c>
      <c r="I31" s="21">
        <v>480</v>
      </c>
      <c r="J31" s="21">
        <v>4460</v>
      </c>
      <c r="K31" s="31">
        <f t="shared" si="1"/>
        <v>2050</v>
      </c>
      <c r="L31" s="26">
        <f t="shared" si="2"/>
        <v>820</v>
      </c>
      <c r="M31" s="25">
        <f t="shared" si="3"/>
        <v>-3710</v>
      </c>
    </row>
    <row r="32" spans="1:14" x14ac:dyDescent="0.3">
      <c r="A32" s="3">
        <v>45777</v>
      </c>
      <c r="B32" s="18">
        <v>760</v>
      </c>
      <c r="C32" s="18">
        <v>1560</v>
      </c>
      <c r="D32" s="18">
        <v>0</v>
      </c>
      <c r="E32" s="18">
        <v>1560</v>
      </c>
      <c r="F32" s="15">
        <f t="shared" si="0"/>
        <v>-760</v>
      </c>
      <c r="G32" s="19">
        <f t="shared" si="0"/>
        <v>0</v>
      </c>
      <c r="H32" s="20">
        <v>260</v>
      </c>
      <c r="I32" s="21">
        <v>7000</v>
      </c>
      <c r="J32" s="21">
        <v>4500</v>
      </c>
      <c r="K32" s="31">
        <f t="shared" si="1"/>
        <v>2320</v>
      </c>
      <c r="L32" s="26">
        <f t="shared" si="2"/>
        <v>-6240</v>
      </c>
      <c r="M32" s="25">
        <f t="shared" si="3"/>
        <v>-2940</v>
      </c>
    </row>
    <row r="33" spans="1:14" x14ac:dyDescent="0.3">
      <c r="A33" s="3"/>
      <c r="B33" s="18"/>
      <c r="C33" s="18"/>
      <c r="D33" s="18"/>
      <c r="E33" s="18"/>
      <c r="F33" s="15">
        <f t="shared" si="0"/>
        <v>0</v>
      </c>
      <c r="G33" s="19">
        <f t="shared" si="0"/>
        <v>0</v>
      </c>
      <c r="H33" s="20"/>
      <c r="I33" s="21"/>
      <c r="J33" s="33"/>
      <c r="K33" s="31">
        <f t="shared" si="1"/>
        <v>0</v>
      </c>
      <c r="L33" s="26">
        <f t="shared" si="2"/>
        <v>0</v>
      </c>
      <c r="M33" s="25">
        <f t="shared" si="3"/>
        <v>0</v>
      </c>
    </row>
    <row r="34" spans="1:14" s="8" customFormat="1" ht="27.6" customHeight="1" x14ac:dyDescent="0.35">
      <c r="A34" s="7" t="s">
        <v>4</v>
      </c>
      <c r="B34" s="22">
        <f>SUM(B3:B33)</f>
        <v>36150</v>
      </c>
      <c r="C34" s="22">
        <f>SUM(C3:C33)</f>
        <v>81665</v>
      </c>
      <c r="D34" s="22"/>
      <c r="E34" s="22">
        <f t="shared" ref="E34:M34" si="4">SUM(E3:E33)</f>
        <v>81665</v>
      </c>
      <c r="F34" s="15">
        <f t="shared" si="4"/>
        <v>-36150</v>
      </c>
      <c r="G34" s="23">
        <f t="shared" si="4"/>
        <v>0</v>
      </c>
      <c r="H34" s="24" t="s">
        <v>17</v>
      </c>
      <c r="I34" s="24">
        <f t="shared" si="4"/>
        <v>35435</v>
      </c>
      <c r="J34" s="24">
        <f t="shared" si="4"/>
        <v>95899</v>
      </c>
      <c r="K34" s="32">
        <f t="shared" si="4"/>
        <v>117815</v>
      </c>
      <c r="L34" s="27">
        <f t="shared" si="4"/>
        <v>715</v>
      </c>
      <c r="M34" s="27">
        <f t="shared" si="4"/>
        <v>-14234</v>
      </c>
      <c r="N34" s="13"/>
    </row>
    <row r="35" spans="1:14" x14ac:dyDescent="0.3">
      <c r="K35" s="34"/>
    </row>
    <row r="37" spans="1:14" ht="18" x14ac:dyDescent="0.3">
      <c r="G37" s="51" t="s">
        <v>14</v>
      </c>
      <c r="H37" s="51"/>
      <c r="I37" s="12">
        <f>SUM(K3:K33)</f>
        <v>117815</v>
      </c>
    </row>
    <row r="38" spans="1:14" ht="18" x14ac:dyDescent="0.3">
      <c r="G38" s="51" t="s">
        <v>16</v>
      </c>
      <c r="H38" s="51"/>
      <c r="I38" s="12">
        <f>SUM(+I34+J34)</f>
        <v>131334</v>
      </c>
    </row>
    <row r="39" spans="1:14" ht="18" x14ac:dyDescent="0.3">
      <c r="G39" s="51" t="s">
        <v>15</v>
      </c>
      <c r="H39" s="51"/>
      <c r="I39" s="12">
        <f>SUM(L34+M34)</f>
        <v>-13519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9"/>
  <sheetViews>
    <sheetView topLeftCell="A20" workbookViewId="0">
      <selection activeCell="C45" sqref="C45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">
        <v>45717</v>
      </c>
      <c r="B3" s="14">
        <v>810</v>
      </c>
      <c r="C3" s="14">
        <v>2390</v>
      </c>
      <c r="D3" s="14">
        <v>0</v>
      </c>
      <c r="E3" s="14">
        <v>2390</v>
      </c>
      <c r="F3" s="15">
        <f>SUM(D3-B3)</f>
        <v>-810</v>
      </c>
      <c r="G3" s="15">
        <f>SUM(E3-C3)</f>
        <v>0</v>
      </c>
      <c r="H3" s="16">
        <v>299.83999999999997</v>
      </c>
      <c r="I3" s="17">
        <v>800</v>
      </c>
      <c r="J3" s="17">
        <v>250</v>
      </c>
      <c r="K3" s="31">
        <f>SUM(B3:C3)</f>
        <v>3200</v>
      </c>
      <c r="L3" s="25">
        <f>SUM(B3-I3)</f>
        <v>10</v>
      </c>
      <c r="M3" s="25">
        <f>SUM(E3-J3)</f>
        <v>2140</v>
      </c>
    </row>
    <row r="4" spans="1:14" x14ac:dyDescent="0.3">
      <c r="A4" s="3">
        <v>45718</v>
      </c>
      <c r="B4" s="18">
        <v>1400</v>
      </c>
      <c r="C4" s="18">
        <v>2470</v>
      </c>
      <c r="D4" s="18">
        <v>0</v>
      </c>
      <c r="E4" s="18">
        <v>2470</v>
      </c>
      <c r="F4" s="15">
        <f t="shared" ref="F4:G33" si="0">SUM(D4-B4)</f>
        <v>-1400</v>
      </c>
      <c r="G4" s="19">
        <f t="shared" si="0"/>
        <v>0</v>
      </c>
      <c r="H4" s="20">
        <v>301.81</v>
      </c>
      <c r="I4" s="21">
        <v>425</v>
      </c>
      <c r="J4" s="21">
        <v>0</v>
      </c>
      <c r="K4" s="31">
        <f t="shared" ref="K4:K33" si="1">SUM(B4:C4)</f>
        <v>3870</v>
      </c>
      <c r="L4" s="26">
        <f t="shared" ref="L4:L33" si="2">SUM(B4-I4)</f>
        <v>975</v>
      </c>
      <c r="M4" s="25">
        <f t="shared" ref="M4:M33" si="3">SUM(E4-J4)</f>
        <v>2470</v>
      </c>
    </row>
    <row r="5" spans="1:14" x14ac:dyDescent="0.3">
      <c r="A5" s="3">
        <v>45719</v>
      </c>
      <c r="B5" s="18">
        <v>1000</v>
      </c>
      <c r="C5" s="18">
        <v>1120</v>
      </c>
      <c r="D5" s="18">
        <v>0</v>
      </c>
      <c r="E5" s="18">
        <v>1120</v>
      </c>
      <c r="F5" s="15">
        <f t="shared" si="0"/>
        <v>-1000</v>
      </c>
      <c r="G5" s="19">
        <f t="shared" si="0"/>
        <v>0</v>
      </c>
      <c r="H5" s="20">
        <v>133.63999999999999</v>
      </c>
      <c r="I5" s="21">
        <v>1145</v>
      </c>
      <c r="J5" s="21">
        <v>4675</v>
      </c>
      <c r="K5" s="31">
        <f t="shared" si="1"/>
        <v>2120</v>
      </c>
      <c r="L5" s="26">
        <f t="shared" si="2"/>
        <v>-145</v>
      </c>
      <c r="M5" s="25">
        <f t="shared" si="3"/>
        <v>-3555</v>
      </c>
    </row>
    <row r="6" spans="1:14" x14ac:dyDescent="0.3">
      <c r="A6" s="3">
        <v>45720</v>
      </c>
      <c r="B6" s="18">
        <v>0</v>
      </c>
      <c r="C6" s="18">
        <v>1020</v>
      </c>
      <c r="D6" s="18">
        <v>0</v>
      </c>
      <c r="E6" s="18">
        <v>1020</v>
      </c>
      <c r="F6" s="15">
        <f t="shared" si="0"/>
        <v>0</v>
      </c>
      <c r="G6" s="19">
        <f t="shared" si="0"/>
        <v>0</v>
      </c>
      <c r="H6" s="20">
        <v>170</v>
      </c>
      <c r="I6" s="21">
        <v>315</v>
      </c>
      <c r="J6" s="21">
        <v>0</v>
      </c>
      <c r="K6" s="31">
        <f t="shared" si="1"/>
        <v>1020</v>
      </c>
      <c r="L6" s="26">
        <f t="shared" si="2"/>
        <v>-315</v>
      </c>
      <c r="M6" s="25">
        <f t="shared" si="3"/>
        <v>1020</v>
      </c>
    </row>
    <row r="7" spans="1:14" x14ac:dyDescent="0.3">
      <c r="A7" s="3">
        <v>45721</v>
      </c>
      <c r="B7" s="18">
        <v>55</v>
      </c>
      <c r="C7" s="18">
        <v>3730</v>
      </c>
      <c r="D7" s="18">
        <v>0</v>
      </c>
      <c r="E7" s="18">
        <v>3730</v>
      </c>
      <c r="F7" s="15">
        <f t="shared" si="0"/>
        <v>-55</v>
      </c>
      <c r="G7" s="19">
        <f t="shared" si="0"/>
        <v>0</v>
      </c>
      <c r="H7" s="20">
        <v>464.09</v>
      </c>
      <c r="I7" s="21">
        <v>420</v>
      </c>
      <c r="J7" s="21">
        <v>0</v>
      </c>
      <c r="K7" s="31">
        <f t="shared" si="1"/>
        <v>3785</v>
      </c>
      <c r="L7" s="26">
        <f t="shared" si="2"/>
        <v>-365</v>
      </c>
      <c r="M7" s="25">
        <f t="shared" si="3"/>
        <v>3730</v>
      </c>
    </row>
    <row r="8" spans="1:14" x14ac:dyDescent="0.3">
      <c r="A8" s="3">
        <v>45722</v>
      </c>
      <c r="B8" s="18">
        <v>450</v>
      </c>
      <c r="C8" s="18">
        <v>3010</v>
      </c>
      <c r="D8" s="18">
        <v>0</v>
      </c>
      <c r="E8" s="18">
        <v>3010</v>
      </c>
      <c r="F8" s="15">
        <f t="shared" si="0"/>
        <v>-450</v>
      </c>
      <c r="G8" s="19">
        <v>0</v>
      </c>
      <c r="H8" s="20">
        <v>338.02</v>
      </c>
      <c r="I8" s="21">
        <v>315</v>
      </c>
      <c r="J8" s="21">
        <v>0</v>
      </c>
      <c r="K8" s="31">
        <f t="shared" si="1"/>
        <v>3460</v>
      </c>
      <c r="L8" s="26">
        <f t="shared" si="2"/>
        <v>135</v>
      </c>
      <c r="M8" s="25">
        <f t="shared" si="3"/>
        <v>3010</v>
      </c>
    </row>
    <row r="9" spans="1:14" x14ac:dyDescent="0.3">
      <c r="A9" s="3">
        <v>45723</v>
      </c>
      <c r="B9" s="18">
        <v>210</v>
      </c>
      <c r="C9" s="18">
        <v>2235</v>
      </c>
      <c r="D9" s="18">
        <v>0</v>
      </c>
      <c r="E9" s="18">
        <v>2235</v>
      </c>
      <c r="F9" s="15">
        <f t="shared" si="0"/>
        <v>-210</v>
      </c>
      <c r="G9" s="19">
        <f t="shared" si="0"/>
        <v>0</v>
      </c>
      <c r="H9" s="20">
        <v>372.5</v>
      </c>
      <c r="I9" s="21">
        <v>5130</v>
      </c>
      <c r="J9" s="21">
        <v>1250</v>
      </c>
      <c r="K9" s="31">
        <f t="shared" si="1"/>
        <v>2445</v>
      </c>
      <c r="L9" s="26">
        <f t="shared" si="2"/>
        <v>-4920</v>
      </c>
      <c r="M9" s="25">
        <f t="shared" si="3"/>
        <v>985</v>
      </c>
    </row>
    <row r="10" spans="1:14" x14ac:dyDescent="0.3">
      <c r="A10" s="3">
        <v>45724</v>
      </c>
      <c r="B10" s="18">
        <v>2270</v>
      </c>
      <c r="C10" s="18">
        <v>9400</v>
      </c>
      <c r="D10" s="18">
        <v>0</v>
      </c>
      <c r="E10" s="18">
        <v>9400</v>
      </c>
      <c r="F10" s="15">
        <f t="shared" si="0"/>
        <v>-2270</v>
      </c>
      <c r="G10" s="19">
        <f t="shared" si="0"/>
        <v>0</v>
      </c>
      <c r="H10" s="20">
        <v>926.5</v>
      </c>
      <c r="I10" s="21">
        <v>200</v>
      </c>
      <c r="J10" s="21">
        <v>410</v>
      </c>
      <c r="K10" s="31">
        <f t="shared" si="1"/>
        <v>11670</v>
      </c>
      <c r="L10" s="26">
        <f t="shared" si="2"/>
        <v>2070</v>
      </c>
      <c r="M10" s="25">
        <f t="shared" si="3"/>
        <v>8990</v>
      </c>
    </row>
    <row r="11" spans="1:14" x14ac:dyDescent="0.3">
      <c r="A11" s="3">
        <v>45725</v>
      </c>
      <c r="B11" s="18">
        <v>530</v>
      </c>
      <c r="C11" s="18">
        <v>3070</v>
      </c>
      <c r="D11" s="18">
        <v>0</v>
      </c>
      <c r="E11" s="18">
        <v>3070</v>
      </c>
      <c r="F11" s="15">
        <f t="shared" si="0"/>
        <v>-530</v>
      </c>
      <c r="G11" s="19">
        <f t="shared" si="0"/>
        <v>0</v>
      </c>
      <c r="H11" s="20">
        <v>430.61</v>
      </c>
      <c r="I11" s="21">
        <v>100</v>
      </c>
      <c r="J11" s="21">
        <v>0</v>
      </c>
      <c r="K11" s="31">
        <f t="shared" si="1"/>
        <v>3600</v>
      </c>
      <c r="L11" s="26">
        <f t="shared" si="2"/>
        <v>430</v>
      </c>
      <c r="M11" s="25">
        <f t="shared" si="3"/>
        <v>3070</v>
      </c>
    </row>
    <row r="12" spans="1:14" x14ac:dyDescent="0.3">
      <c r="A12" s="3">
        <v>45726</v>
      </c>
      <c r="B12" s="18">
        <v>1030</v>
      </c>
      <c r="C12" s="18">
        <v>1030</v>
      </c>
      <c r="D12" s="18">
        <v>0</v>
      </c>
      <c r="E12" s="18">
        <v>1030</v>
      </c>
      <c r="F12" s="15">
        <f t="shared" si="0"/>
        <v>-1030</v>
      </c>
      <c r="G12" s="19">
        <f t="shared" si="0"/>
        <v>0</v>
      </c>
      <c r="H12" s="20">
        <v>135.31</v>
      </c>
      <c r="I12" s="21">
        <v>2800</v>
      </c>
      <c r="J12" s="21">
        <v>14800</v>
      </c>
      <c r="K12" s="31">
        <f t="shared" si="1"/>
        <v>2060</v>
      </c>
      <c r="L12" s="26">
        <f t="shared" si="2"/>
        <v>-1770</v>
      </c>
      <c r="M12" s="25">
        <f t="shared" si="3"/>
        <v>-13770</v>
      </c>
      <c r="N12" t="s">
        <v>17</v>
      </c>
    </row>
    <row r="13" spans="1:14" x14ac:dyDescent="0.3">
      <c r="A13" s="3">
        <v>45727</v>
      </c>
      <c r="B13" s="18">
        <v>510</v>
      </c>
      <c r="C13" s="18">
        <v>3875</v>
      </c>
      <c r="D13" s="18">
        <v>0</v>
      </c>
      <c r="E13" s="18">
        <v>3875</v>
      </c>
      <c r="F13" s="15">
        <f t="shared" si="0"/>
        <v>-510</v>
      </c>
      <c r="G13" s="19">
        <f t="shared" si="0"/>
        <v>0</v>
      </c>
      <c r="H13" s="20">
        <v>645.82000000000005</v>
      </c>
      <c r="I13" s="21">
        <v>340</v>
      </c>
      <c r="J13" s="21">
        <v>240</v>
      </c>
      <c r="K13" s="31">
        <f t="shared" si="1"/>
        <v>4385</v>
      </c>
      <c r="L13" s="26">
        <f t="shared" si="2"/>
        <v>170</v>
      </c>
      <c r="M13" s="25">
        <f t="shared" si="3"/>
        <v>3635</v>
      </c>
    </row>
    <row r="14" spans="1:14" x14ac:dyDescent="0.3">
      <c r="A14" s="3">
        <v>45728</v>
      </c>
      <c r="B14" s="18">
        <v>1000</v>
      </c>
      <c r="C14" s="18">
        <v>730</v>
      </c>
      <c r="D14" s="18">
        <v>0</v>
      </c>
      <c r="E14" s="18">
        <v>730</v>
      </c>
      <c r="F14" s="15">
        <f t="shared" si="0"/>
        <v>-1000</v>
      </c>
      <c r="G14" s="19">
        <f t="shared" si="0"/>
        <v>0</v>
      </c>
      <c r="H14" s="20">
        <v>148.34</v>
      </c>
      <c r="I14" s="21">
        <v>100</v>
      </c>
      <c r="J14" s="21">
        <v>0</v>
      </c>
      <c r="K14" s="31">
        <f t="shared" si="1"/>
        <v>1730</v>
      </c>
      <c r="L14" s="26">
        <f t="shared" si="2"/>
        <v>900</v>
      </c>
      <c r="M14" s="25">
        <f t="shared" si="3"/>
        <v>730</v>
      </c>
    </row>
    <row r="15" spans="1:14" x14ac:dyDescent="0.3">
      <c r="A15" s="3">
        <v>45729</v>
      </c>
      <c r="B15" s="18">
        <v>745</v>
      </c>
      <c r="C15" s="18">
        <v>1705</v>
      </c>
      <c r="D15" s="18">
        <v>0</v>
      </c>
      <c r="E15" s="18">
        <v>1705</v>
      </c>
      <c r="F15" s="15">
        <f t="shared" si="0"/>
        <v>-745</v>
      </c>
      <c r="G15" s="19">
        <f t="shared" si="0"/>
        <v>0</v>
      </c>
      <c r="H15" s="20">
        <v>284.16000000000003</v>
      </c>
      <c r="I15" s="21">
        <v>0</v>
      </c>
      <c r="J15" s="21">
        <v>3196</v>
      </c>
      <c r="K15" s="31">
        <f t="shared" si="1"/>
        <v>2450</v>
      </c>
      <c r="L15" s="26">
        <f t="shared" si="2"/>
        <v>745</v>
      </c>
      <c r="M15" s="25">
        <f t="shared" si="3"/>
        <v>-1491</v>
      </c>
    </row>
    <row r="16" spans="1:14" x14ac:dyDescent="0.3">
      <c r="A16" s="3">
        <v>45730</v>
      </c>
      <c r="B16" s="18">
        <v>400</v>
      </c>
      <c r="C16" s="18">
        <v>1985</v>
      </c>
      <c r="D16" s="18">
        <v>0</v>
      </c>
      <c r="E16" s="18">
        <v>1985</v>
      </c>
      <c r="F16" s="15">
        <f t="shared" si="0"/>
        <v>-400</v>
      </c>
      <c r="G16" s="19">
        <f t="shared" si="0"/>
        <v>0</v>
      </c>
      <c r="H16" s="20">
        <v>347.5</v>
      </c>
      <c r="I16" s="21">
        <v>100</v>
      </c>
      <c r="J16" s="21">
        <v>4200</v>
      </c>
      <c r="K16" s="31">
        <f t="shared" si="1"/>
        <v>2385</v>
      </c>
      <c r="L16" s="26">
        <f t="shared" si="2"/>
        <v>300</v>
      </c>
      <c r="M16" s="25">
        <f t="shared" si="3"/>
        <v>-2215</v>
      </c>
    </row>
    <row r="17" spans="1:14" x14ac:dyDescent="0.3">
      <c r="A17" s="3">
        <v>45731</v>
      </c>
      <c r="B17" s="18">
        <v>300</v>
      </c>
      <c r="C17" s="18">
        <v>1610</v>
      </c>
      <c r="D17" s="18">
        <v>0</v>
      </c>
      <c r="E17" s="18">
        <v>1610</v>
      </c>
      <c r="F17" s="15">
        <f t="shared" si="0"/>
        <v>-300</v>
      </c>
      <c r="G17" s="19">
        <f t="shared" si="0"/>
        <v>0</v>
      </c>
      <c r="H17" s="20">
        <v>268.33999999999997</v>
      </c>
      <c r="I17" s="21">
        <v>600</v>
      </c>
      <c r="J17" s="21">
        <v>0</v>
      </c>
      <c r="K17" s="31">
        <f t="shared" si="1"/>
        <v>1910</v>
      </c>
      <c r="L17" s="26">
        <f t="shared" si="2"/>
        <v>-300</v>
      </c>
      <c r="M17" s="25">
        <f t="shared" si="3"/>
        <v>1610</v>
      </c>
    </row>
    <row r="18" spans="1:14" x14ac:dyDescent="0.3">
      <c r="A18" s="3">
        <v>45732</v>
      </c>
      <c r="B18" s="18">
        <v>1200</v>
      </c>
      <c r="C18" s="18">
        <v>3150</v>
      </c>
      <c r="D18" s="18">
        <v>0</v>
      </c>
      <c r="E18" s="18">
        <v>3150</v>
      </c>
      <c r="F18" s="15">
        <f t="shared" si="0"/>
        <v>-1200</v>
      </c>
      <c r="G18" s="19">
        <f t="shared" si="0"/>
        <v>0</v>
      </c>
      <c r="H18" s="20">
        <v>525.01</v>
      </c>
      <c r="I18" s="21">
        <v>340</v>
      </c>
      <c r="J18" s="21">
        <v>0</v>
      </c>
      <c r="K18" s="31">
        <f t="shared" si="1"/>
        <v>4350</v>
      </c>
      <c r="L18" s="26">
        <f t="shared" si="2"/>
        <v>860</v>
      </c>
      <c r="M18" s="25">
        <f t="shared" si="3"/>
        <v>3150</v>
      </c>
    </row>
    <row r="19" spans="1:14" x14ac:dyDescent="0.3">
      <c r="A19" s="3">
        <v>45733</v>
      </c>
      <c r="B19" s="18">
        <v>500</v>
      </c>
      <c r="C19" s="18">
        <v>230</v>
      </c>
      <c r="D19" s="18">
        <v>0</v>
      </c>
      <c r="E19" s="18">
        <v>230</v>
      </c>
      <c r="F19" s="15">
        <f t="shared" si="0"/>
        <v>-500</v>
      </c>
      <c r="G19" s="19">
        <f t="shared" si="0"/>
        <v>0</v>
      </c>
      <c r="H19" s="20">
        <v>16.670000000000002</v>
      </c>
      <c r="I19" s="21">
        <v>705</v>
      </c>
      <c r="J19" s="21">
        <v>650</v>
      </c>
      <c r="K19" s="31">
        <f t="shared" si="1"/>
        <v>730</v>
      </c>
      <c r="L19" s="26">
        <f t="shared" si="2"/>
        <v>-205</v>
      </c>
      <c r="M19" s="25">
        <f t="shared" si="3"/>
        <v>-420</v>
      </c>
    </row>
    <row r="20" spans="1:14" x14ac:dyDescent="0.3">
      <c r="A20" s="3">
        <v>45734</v>
      </c>
      <c r="B20" s="18">
        <v>0</v>
      </c>
      <c r="C20" s="18">
        <v>50</v>
      </c>
      <c r="D20" s="18">
        <v>0</v>
      </c>
      <c r="E20" s="18">
        <v>50</v>
      </c>
      <c r="F20" s="15">
        <f t="shared" si="0"/>
        <v>0</v>
      </c>
      <c r="G20" s="19">
        <f t="shared" si="0"/>
        <v>0</v>
      </c>
      <c r="H20" s="20">
        <v>8.33</v>
      </c>
      <c r="I20" s="21">
        <v>65</v>
      </c>
      <c r="J20" s="21">
        <v>0</v>
      </c>
      <c r="K20" s="31">
        <f t="shared" si="1"/>
        <v>50</v>
      </c>
      <c r="L20" s="26">
        <f t="shared" si="2"/>
        <v>-65</v>
      </c>
      <c r="M20" s="25">
        <f t="shared" si="3"/>
        <v>50</v>
      </c>
    </row>
    <row r="21" spans="1:14" x14ac:dyDescent="0.3">
      <c r="A21" s="3">
        <v>45735</v>
      </c>
      <c r="B21" s="18">
        <v>450</v>
      </c>
      <c r="C21" s="18">
        <v>2890</v>
      </c>
      <c r="D21" s="18">
        <v>0</v>
      </c>
      <c r="E21" s="18">
        <v>2890</v>
      </c>
      <c r="F21" s="15">
        <f t="shared" si="0"/>
        <v>-450</v>
      </c>
      <c r="G21" s="19">
        <f t="shared" si="0"/>
        <v>0</v>
      </c>
      <c r="H21" s="20">
        <v>411.67</v>
      </c>
      <c r="I21" s="21">
        <v>630</v>
      </c>
      <c r="J21" s="21">
        <v>6000</v>
      </c>
      <c r="K21" s="31">
        <f t="shared" si="1"/>
        <v>3340</v>
      </c>
      <c r="L21" s="26">
        <f t="shared" si="2"/>
        <v>-180</v>
      </c>
      <c r="M21" s="25">
        <f t="shared" si="3"/>
        <v>-3110</v>
      </c>
    </row>
    <row r="22" spans="1:14" x14ac:dyDescent="0.3">
      <c r="A22" s="3">
        <v>45736</v>
      </c>
      <c r="B22" s="18">
        <v>100</v>
      </c>
      <c r="C22" s="18">
        <v>1650</v>
      </c>
      <c r="D22" s="18">
        <v>0</v>
      </c>
      <c r="E22" s="18">
        <v>1650</v>
      </c>
      <c r="F22" s="15">
        <f t="shared" si="0"/>
        <v>-100</v>
      </c>
      <c r="G22" s="19">
        <f t="shared" si="0"/>
        <v>0</v>
      </c>
      <c r="H22" s="20">
        <v>275.01</v>
      </c>
      <c r="I22" s="21">
        <v>90</v>
      </c>
      <c r="J22" s="21">
        <v>600</v>
      </c>
      <c r="K22" s="31">
        <f t="shared" si="1"/>
        <v>1750</v>
      </c>
      <c r="L22" s="26">
        <f t="shared" si="2"/>
        <v>10</v>
      </c>
      <c r="M22" s="25">
        <f t="shared" si="3"/>
        <v>1050</v>
      </c>
    </row>
    <row r="23" spans="1:14" x14ac:dyDescent="0.3">
      <c r="A23" s="3">
        <v>45737</v>
      </c>
      <c r="B23" s="18">
        <v>2060</v>
      </c>
      <c r="C23" s="18">
        <v>3640</v>
      </c>
      <c r="D23" s="18">
        <v>0</v>
      </c>
      <c r="E23" s="18">
        <v>3640</v>
      </c>
      <c r="F23" s="15">
        <f t="shared" si="0"/>
        <v>-2060</v>
      </c>
      <c r="G23" s="19">
        <f t="shared" si="0"/>
        <v>0</v>
      </c>
      <c r="H23" s="20">
        <v>523.33000000000004</v>
      </c>
      <c r="I23" s="21">
        <v>2500</v>
      </c>
      <c r="J23" s="21">
        <v>4000</v>
      </c>
      <c r="K23" s="31">
        <f t="shared" si="1"/>
        <v>5700</v>
      </c>
      <c r="L23" s="26">
        <f t="shared" si="2"/>
        <v>-440</v>
      </c>
      <c r="M23" s="25">
        <f t="shared" si="3"/>
        <v>-360</v>
      </c>
    </row>
    <row r="24" spans="1:14" x14ac:dyDescent="0.3">
      <c r="A24" s="3">
        <v>45738</v>
      </c>
      <c r="B24" s="18">
        <v>4400</v>
      </c>
      <c r="C24" s="18">
        <v>6155</v>
      </c>
      <c r="D24" s="18">
        <v>0</v>
      </c>
      <c r="E24" s="18">
        <v>6155</v>
      </c>
      <c r="F24" s="15">
        <f t="shared" si="0"/>
        <v>-4400</v>
      </c>
      <c r="G24" s="19">
        <f t="shared" si="0"/>
        <v>0</v>
      </c>
      <c r="H24" s="20">
        <v>1025.8399999999999</v>
      </c>
      <c r="I24" s="21">
        <v>200</v>
      </c>
      <c r="J24" s="21">
        <v>0</v>
      </c>
      <c r="K24" s="31">
        <f t="shared" si="1"/>
        <v>10555</v>
      </c>
      <c r="L24" s="26">
        <f t="shared" si="2"/>
        <v>4200</v>
      </c>
      <c r="M24" s="25">
        <f t="shared" si="3"/>
        <v>6155</v>
      </c>
    </row>
    <row r="25" spans="1:14" x14ac:dyDescent="0.3">
      <c r="A25" s="3">
        <v>45739</v>
      </c>
      <c r="B25" s="18">
        <v>2440</v>
      </c>
      <c r="C25" s="18">
        <v>3810</v>
      </c>
      <c r="D25" s="18">
        <v>0</v>
      </c>
      <c r="E25" s="18">
        <v>3810</v>
      </c>
      <c r="F25" s="15">
        <f t="shared" si="0"/>
        <v>-2440</v>
      </c>
      <c r="G25" s="19">
        <f t="shared" si="0"/>
        <v>0</v>
      </c>
      <c r="H25" s="20">
        <v>635</v>
      </c>
      <c r="I25" s="21">
        <v>300</v>
      </c>
      <c r="J25" s="21">
        <v>0</v>
      </c>
      <c r="K25" s="31">
        <f t="shared" si="1"/>
        <v>6250</v>
      </c>
      <c r="L25" s="26">
        <f t="shared" si="2"/>
        <v>2140</v>
      </c>
      <c r="M25" s="25">
        <f t="shared" si="3"/>
        <v>3810</v>
      </c>
      <c r="N25" t="s">
        <v>18</v>
      </c>
    </row>
    <row r="26" spans="1:14" x14ac:dyDescent="0.3">
      <c r="A26" s="3">
        <v>45740</v>
      </c>
      <c r="B26" s="18">
        <v>640</v>
      </c>
      <c r="C26" s="18">
        <v>3635</v>
      </c>
      <c r="D26" s="18">
        <v>0</v>
      </c>
      <c r="E26" s="18">
        <v>3635</v>
      </c>
      <c r="F26" s="15">
        <f t="shared" si="0"/>
        <v>-640</v>
      </c>
      <c r="G26" s="19">
        <f t="shared" si="0"/>
        <v>0</v>
      </c>
      <c r="H26" s="20">
        <v>447.5</v>
      </c>
      <c r="I26" s="21">
        <v>1050</v>
      </c>
      <c r="J26" s="21">
        <v>7215</v>
      </c>
      <c r="K26" s="31">
        <f t="shared" si="1"/>
        <v>4275</v>
      </c>
      <c r="L26" s="26">
        <f t="shared" si="2"/>
        <v>-410</v>
      </c>
      <c r="M26" s="25">
        <f t="shared" si="3"/>
        <v>-3580</v>
      </c>
    </row>
    <row r="27" spans="1:14" x14ac:dyDescent="0.3">
      <c r="A27" s="3">
        <v>45741</v>
      </c>
      <c r="B27" s="18">
        <v>730</v>
      </c>
      <c r="C27" s="18">
        <v>2760</v>
      </c>
      <c r="D27" s="18">
        <v>0</v>
      </c>
      <c r="E27" s="18">
        <v>2760</v>
      </c>
      <c r="F27" s="15">
        <f t="shared" si="0"/>
        <v>-730</v>
      </c>
      <c r="G27" s="19">
        <v>0</v>
      </c>
      <c r="H27" s="20">
        <v>460</v>
      </c>
      <c r="I27" s="21">
        <v>240</v>
      </c>
      <c r="J27" s="21">
        <v>6700</v>
      </c>
      <c r="K27" s="31">
        <f t="shared" si="1"/>
        <v>3490</v>
      </c>
      <c r="L27" s="26">
        <f t="shared" si="2"/>
        <v>490</v>
      </c>
      <c r="M27" s="25">
        <f t="shared" si="3"/>
        <v>-3940</v>
      </c>
    </row>
    <row r="28" spans="1:14" x14ac:dyDescent="0.3">
      <c r="A28" s="3">
        <v>45742</v>
      </c>
      <c r="B28" s="18">
        <v>400</v>
      </c>
      <c r="C28" s="18">
        <v>2955</v>
      </c>
      <c r="D28" s="18">
        <v>0</v>
      </c>
      <c r="E28" s="18">
        <v>2955</v>
      </c>
      <c r="F28" s="15">
        <f t="shared" si="0"/>
        <v>-400</v>
      </c>
      <c r="G28" s="19">
        <f t="shared" si="0"/>
        <v>0</v>
      </c>
      <c r="H28" s="20">
        <v>390.83</v>
      </c>
      <c r="I28" s="21">
        <v>1765</v>
      </c>
      <c r="J28" s="21">
        <v>2620</v>
      </c>
      <c r="K28" s="31">
        <f t="shared" si="1"/>
        <v>3355</v>
      </c>
      <c r="L28" s="26">
        <f t="shared" si="2"/>
        <v>-1365</v>
      </c>
      <c r="M28" s="25">
        <f t="shared" si="3"/>
        <v>335</v>
      </c>
    </row>
    <row r="29" spans="1:14" x14ac:dyDescent="0.3">
      <c r="A29" s="3">
        <v>45743</v>
      </c>
      <c r="B29" s="18">
        <v>600</v>
      </c>
      <c r="C29" s="18">
        <v>3460</v>
      </c>
      <c r="D29" s="18">
        <v>0</v>
      </c>
      <c r="E29" s="18">
        <v>3460</v>
      </c>
      <c r="F29" s="15">
        <f t="shared" si="0"/>
        <v>-600</v>
      </c>
      <c r="G29" s="19">
        <f t="shared" si="0"/>
        <v>0</v>
      </c>
      <c r="H29" s="20">
        <v>568.34</v>
      </c>
      <c r="I29" s="21">
        <v>300</v>
      </c>
      <c r="J29" s="21">
        <v>0</v>
      </c>
      <c r="K29" s="31">
        <f t="shared" si="1"/>
        <v>4060</v>
      </c>
      <c r="L29" s="26">
        <f t="shared" si="2"/>
        <v>300</v>
      </c>
      <c r="M29" s="25">
        <f t="shared" si="3"/>
        <v>3460</v>
      </c>
    </row>
    <row r="30" spans="1:14" x14ac:dyDescent="0.3">
      <c r="A30" s="3">
        <v>45744</v>
      </c>
      <c r="B30" s="18">
        <v>1965</v>
      </c>
      <c r="C30" s="18">
        <v>6070</v>
      </c>
      <c r="D30" s="18">
        <v>0</v>
      </c>
      <c r="E30" s="18">
        <v>6070</v>
      </c>
      <c r="F30" s="15">
        <f t="shared" si="0"/>
        <v>-1965</v>
      </c>
      <c r="G30" s="19">
        <f t="shared" si="0"/>
        <v>0</v>
      </c>
      <c r="H30" s="20">
        <v>1011.66</v>
      </c>
      <c r="I30" s="21">
        <v>5350</v>
      </c>
      <c r="J30" s="21">
        <v>3000</v>
      </c>
      <c r="K30" s="31">
        <f t="shared" si="1"/>
        <v>8035</v>
      </c>
      <c r="L30" s="26">
        <f t="shared" si="2"/>
        <v>-3385</v>
      </c>
      <c r="M30" s="25">
        <f t="shared" si="3"/>
        <v>3070</v>
      </c>
    </row>
    <row r="31" spans="1:14" x14ac:dyDescent="0.3">
      <c r="A31" s="3">
        <v>45745</v>
      </c>
      <c r="B31" s="18">
        <v>1200</v>
      </c>
      <c r="C31" s="18">
        <v>4650</v>
      </c>
      <c r="D31" s="18">
        <v>0</v>
      </c>
      <c r="E31" s="18">
        <v>4650</v>
      </c>
      <c r="F31" s="15">
        <f t="shared" si="0"/>
        <v>-1200</v>
      </c>
      <c r="G31" s="19">
        <f t="shared" si="0"/>
        <v>0</v>
      </c>
      <c r="H31" s="20">
        <v>733.34</v>
      </c>
      <c r="I31" s="21">
        <v>1060</v>
      </c>
      <c r="J31" s="21">
        <v>0</v>
      </c>
      <c r="K31" s="31">
        <f t="shared" si="1"/>
        <v>5850</v>
      </c>
      <c r="L31" s="26">
        <f t="shared" si="2"/>
        <v>140</v>
      </c>
      <c r="M31" s="25">
        <f t="shared" si="3"/>
        <v>4650</v>
      </c>
    </row>
    <row r="32" spans="1:14" x14ac:dyDescent="0.3">
      <c r="A32" s="3">
        <v>45746</v>
      </c>
      <c r="B32" s="18">
        <v>0</v>
      </c>
      <c r="C32" s="18">
        <v>0</v>
      </c>
      <c r="D32" s="18">
        <v>0</v>
      </c>
      <c r="E32" s="18">
        <v>0</v>
      </c>
      <c r="F32" s="15">
        <f t="shared" si="0"/>
        <v>0</v>
      </c>
      <c r="G32" s="19">
        <f t="shared" si="0"/>
        <v>0</v>
      </c>
      <c r="H32" s="20">
        <v>0</v>
      </c>
      <c r="I32" s="21">
        <v>640</v>
      </c>
      <c r="J32" s="21">
        <v>570</v>
      </c>
      <c r="K32" s="31">
        <f t="shared" si="1"/>
        <v>0</v>
      </c>
      <c r="L32" s="26">
        <f t="shared" si="2"/>
        <v>-640</v>
      </c>
      <c r="M32" s="25">
        <f t="shared" si="3"/>
        <v>-570</v>
      </c>
    </row>
    <row r="33" spans="1:14" x14ac:dyDescent="0.3">
      <c r="A33" s="3">
        <v>45747</v>
      </c>
      <c r="B33" s="18">
        <v>500</v>
      </c>
      <c r="C33" s="18">
        <v>2890</v>
      </c>
      <c r="D33" s="18">
        <v>0</v>
      </c>
      <c r="E33" s="18">
        <v>2890</v>
      </c>
      <c r="F33" s="15">
        <f t="shared" si="0"/>
        <v>-500</v>
      </c>
      <c r="G33" s="19">
        <f t="shared" si="0"/>
        <v>0</v>
      </c>
      <c r="H33" s="20">
        <v>481.67</v>
      </c>
      <c r="I33" s="21">
        <v>250</v>
      </c>
      <c r="J33" s="33">
        <v>260</v>
      </c>
      <c r="K33" s="31">
        <f t="shared" si="1"/>
        <v>3390</v>
      </c>
      <c r="L33" s="26">
        <f t="shared" si="2"/>
        <v>250</v>
      </c>
      <c r="M33" s="25">
        <f t="shared" si="3"/>
        <v>2630</v>
      </c>
    </row>
    <row r="34" spans="1:14" s="8" customFormat="1" ht="27.6" customHeight="1" x14ac:dyDescent="0.35">
      <c r="A34" s="7" t="s">
        <v>4</v>
      </c>
      <c r="B34" s="22">
        <f>SUM(B3:B33)</f>
        <v>27895</v>
      </c>
      <c r="C34" s="22">
        <f>SUM(C3:C33)</f>
        <v>87375</v>
      </c>
      <c r="D34" s="22"/>
      <c r="E34" s="22">
        <f t="shared" ref="E34:M34" si="4">SUM(E3:E33)</f>
        <v>87375</v>
      </c>
      <c r="F34" s="15">
        <f t="shared" si="4"/>
        <v>-27895</v>
      </c>
      <c r="G34" s="23">
        <f t="shared" si="4"/>
        <v>0</v>
      </c>
      <c r="H34" s="24" t="s">
        <v>17</v>
      </c>
      <c r="I34" s="24">
        <f t="shared" si="4"/>
        <v>28275</v>
      </c>
      <c r="J34" s="24">
        <f t="shared" si="4"/>
        <v>60636</v>
      </c>
      <c r="K34" s="32">
        <f t="shared" si="4"/>
        <v>115270</v>
      </c>
      <c r="L34" s="27">
        <f t="shared" si="4"/>
        <v>-380</v>
      </c>
      <c r="M34" s="27">
        <f t="shared" si="4"/>
        <v>26739</v>
      </c>
      <c r="N34" s="13"/>
    </row>
    <row r="37" spans="1:14" ht="18" x14ac:dyDescent="0.3">
      <c r="G37" s="51" t="s">
        <v>14</v>
      </c>
      <c r="H37" s="51"/>
      <c r="I37" s="12">
        <f>SUM(K3:K33)</f>
        <v>115270</v>
      </c>
    </row>
    <row r="38" spans="1:14" ht="18" x14ac:dyDescent="0.3">
      <c r="G38" s="51" t="s">
        <v>16</v>
      </c>
      <c r="H38" s="51"/>
      <c r="I38" s="12">
        <f>SUM(+I34+J34)</f>
        <v>88911</v>
      </c>
    </row>
    <row r="39" spans="1:14" ht="18" x14ac:dyDescent="0.3">
      <c r="G39" s="51" t="s">
        <v>15</v>
      </c>
      <c r="H39" s="51"/>
      <c r="I39" s="12">
        <f>SUM(L34+M34)</f>
        <v>26359</v>
      </c>
    </row>
  </sheetData>
  <mergeCells count="3">
    <mergeCell ref="G37:H37"/>
    <mergeCell ref="G38:H38"/>
    <mergeCell ref="G39:H3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9"/>
  <sheetViews>
    <sheetView topLeftCell="A23" workbookViewId="0">
      <selection activeCell="B30" sqref="B30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">
        <v>45689</v>
      </c>
      <c r="B3" s="14">
        <v>400</v>
      </c>
      <c r="C3" s="14">
        <v>4035</v>
      </c>
      <c r="D3" s="14">
        <v>0</v>
      </c>
      <c r="E3" s="14">
        <v>4035</v>
      </c>
      <c r="F3" s="15">
        <f>SUM(D3-B3)</f>
        <v>-400</v>
      </c>
      <c r="G3" s="15">
        <f>SUM(E3-C3)</f>
        <v>0</v>
      </c>
      <c r="H3" s="16">
        <v>611.28</v>
      </c>
      <c r="I3" s="17">
        <v>700</v>
      </c>
      <c r="J3" s="17">
        <v>500</v>
      </c>
      <c r="K3" s="31">
        <f>SUM(B3:C3)</f>
        <v>4435</v>
      </c>
      <c r="L3" s="25">
        <f>SUM(B3-I3)</f>
        <v>-300</v>
      </c>
      <c r="M3" s="25">
        <f>SUM(E3-J3)</f>
        <v>3535</v>
      </c>
    </row>
    <row r="4" spans="1:14" x14ac:dyDescent="0.3">
      <c r="A4" s="3">
        <v>45690</v>
      </c>
      <c r="B4" s="18">
        <v>170</v>
      </c>
      <c r="C4" s="18">
        <v>4270</v>
      </c>
      <c r="D4" s="18">
        <v>0</v>
      </c>
      <c r="E4" s="18">
        <v>4270</v>
      </c>
      <c r="F4" s="15">
        <f t="shared" ref="F4:G33" si="0">SUM(D4-B4)</f>
        <v>-170</v>
      </c>
      <c r="G4" s="19">
        <f t="shared" si="0"/>
        <v>0</v>
      </c>
      <c r="H4" s="20">
        <v>548.79999999999995</v>
      </c>
      <c r="I4" s="21">
        <v>235</v>
      </c>
      <c r="J4" s="21">
        <v>0</v>
      </c>
      <c r="K4" s="31">
        <f t="shared" ref="K4:K33" si="1">SUM(B4:C4)</f>
        <v>4440</v>
      </c>
      <c r="L4" s="26">
        <f t="shared" ref="L4:L33" si="2">SUM(B4-I4)</f>
        <v>-65</v>
      </c>
      <c r="M4" s="25">
        <f t="shared" ref="M4:M33" si="3">SUM(E4-J4)</f>
        <v>4270</v>
      </c>
    </row>
    <row r="5" spans="1:14" x14ac:dyDescent="0.3">
      <c r="A5" s="3">
        <v>45691</v>
      </c>
      <c r="B5" s="18">
        <v>1605</v>
      </c>
      <c r="C5" s="18">
        <v>3905</v>
      </c>
      <c r="D5" s="18">
        <v>0</v>
      </c>
      <c r="E5" s="18">
        <v>3905</v>
      </c>
      <c r="F5" s="15">
        <f t="shared" si="0"/>
        <v>-1605</v>
      </c>
      <c r="G5" s="19">
        <f t="shared" si="0"/>
        <v>0</v>
      </c>
      <c r="H5" s="20">
        <v>529.61</v>
      </c>
      <c r="I5" s="21">
        <v>1160</v>
      </c>
      <c r="J5" s="21">
        <v>23180</v>
      </c>
      <c r="K5" s="31">
        <f t="shared" si="1"/>
        <v>5510</v>
      </c>
      <c r="L5" s="26">
        <f t="shared" si="2"/>
        <v>445</v>
      </c>
      <c r="M5" s="25">
        <f t="shared" si="3"/>
        <v>-19275</v>
      </c>
    </row>
    <row r="6" spans="1:14" x14ac:dyDescent="0.3">
      <c r="A6" s="3">
        <v>45692</v>
      </c>
      <c r="B6" s="18">
        <v>500</v>
      </c>
      <c r="C6" s="18">
        <v>1880</v>
      </c>
      <c r="D6" s="18">
        <v>0</v>
      </c>
      <c r="E6" s="18">
        <v>1880</v>
      </c>
      <c r="F6" s="15">
        <f t="shared" si="0"/>
        <v>-500</v>
      </c>
      <c r="G6" s="19">
        <f t="shared" si="0"/>
        <v>0</v>
      </c>
      <c r="H6" s="20">
        <v>241.35</v>
      </c>
      <c r="I6" s="21">
        <v>250</v>
      </c>
      <c r="J6" s="21">
        <f>2500+255</f>
        <v>2755</v>
      </c>
      <c r="K6" s="31">
        <f t="shared" si="1"/>
        <v>2380</v>
      </c>
      <c r="L6" s="26">
        <f t="shared" si="2"/>
        <v>250</v>
      </c>
      <c r="M6" s="25">
        <f t="shared" si="3"/>
        <v>-875</v>
      </c>
    </row>
    <row r="7" spans="1:14" x14ac:dyDescent="0.3">
      <c r="A7" s="3">
        <v>45693</v>
      </c>
      <c r="B7" s="18">
        <v>900</v>
      </c>
      <c r="C7" s="18">
        <v>1720</v>
      </c>
      <c r="D7" s="18">
        <v>0</v>
      </c>
      <c r="E7" s="18">
        <v>1720</v>
      </c>
      <c r="F7" s="15">
        <f t="shared" si="0"/>
        <v>-900</v>
      </c>
      <c r="G7" s="19">
        <f t="shared" si="0"/>
        <v>0</v>
      </c>
      <c r="H7" s="20">
        <v>200.31</v>
      </c>
      <c r="I7" s="21">
        <v>550</v>
      </c>
      <c r="J7" s="21">
        <v>655</v>
      </c>
      <c r="K7" s="31">
        <f t="shared" si="1"/>
        <v>2620</v>
      </c>
      <c r="L7" s="26">
        <f t="shared" si="2"/>
        <v>350</v>
      </c>
      <c r="M7" s="25">
        <f t="shared" si="3"/>
        <v>1065</v>
      </c>
    </row>
    <row r="8" spans="1:14" x14ac:dyDescent="0.3">
      <c r="A8" s="3">
        <v>45694</v>
      </c>
      <c r="B8" s="18">
        <v>305</v>
      </c>
      <c r="C8" s="18">
        <v>2720</v>
      </c>
      <c r="D8" s="18">
        <v>0</v>
      </c>
      <c r="E8" s="18">
        <v>2720</v>
      </c>
      <c r="F8" s="15">
        <f t="shared" si="0"/>
        <v>-305</v>
      </c>
      <c r="G8" s="19">
        <v>0</v>
      </c>
      <c r="H8" s="20">
        <v>373.78</v>
      </c>
      <c r="I8" s="21">
        <v>505</v>
      </c>
      <c r="J8" s="21">
        <v>270</v>
      </c>
      <c r="K8" s="31">
        <f t="shared" si="1"/>
        <v>3025</v>
      </c>
      <c r="L8" s="26">
        <f t="shared" si="2"/>
        <v>-200</v>
      </c>
      <c r="M8" s="25">
        <f t="shared" si="3"/>
        <v>2450</v>
      </c>
    </row>
    <row r="9" spans="1:14" x14ac:dyDescent="0.3">
      <c r="A9" s="3">
        <v>45695</v>
      </c>
      <c r="B9" s="18">
        <v>920</v>
      </c>
      <c r="C9" s="18">
        <v>3380</v>
      </c>
      <c r="D9" s="18">
        <v>0</v>
      </c>
      <c r="E9" s="18">
        <v>3380</v>
      </c>
      <c r="F9" s="15">
        <f t="shared" si="0"/>
        <v>-920</v>
      </c>
      <c r="G9" s="19">
        <f t="shared" si="0"/>
        <v>0</v>
      </c>
      <c r="H9" s="20">
        <v>261.22000000000003</v>
      </c>
      <c r="I9" s="21">
        <v>1120</v>
      </c>
      <c r="J9" s="21">
        <v>4300</v>
      </c>
      <c r="K9" s="31">
        <f t="shared" si="1"/>
        <v>4300</v>
      </c>
      <c r="L9" s="26">
        <f t="shared" si="2"/>
        <v>-200</v>
      </c>
      <c r="M9" s="25">
        <f t="shared" si="3"/>
        <v>-920</v>
      </c>
    </row>
    <row r="10" spans="1:14" x14ac:dyDescent="0.3">
      <c r="A10" s="3">
        <v>45696</v>
      </c>
      <c r="B10" s="18">
        <v>1030</v>
      </c>
      <c r="C10" s="18">
        <v>1380</v>
      </c>
      <c r="D10" s="18">
        <v>0</v>
      </c>
      <c r="E10" s="18">
        <v>1380</v>
      </c>
      <c r="F10" s="15">
        <f t="shared" si="0"/>
        <v>-1030</v>
      </c>
      <c r="G10" s="19">
        <f t="shared" si="0"/>
        <v>0</v>
      </c>
      <c r="H10" s="20">
        <v>203.49</v>
      </c>
      <c r="I10" s="21">
        <v>180</v>
      </c>
      <c r="J10" s="21">
        <v>150</v>
      </c>
      <c r="K10" s="31">
        <f t="shared" si="1"/>
        <v>2410</v>
      </c>
      <c r="L10" s="26">
        <f t="shared" si="2"/>
        <v>850</v>
      </c>
      <c r="M10" s="25">
        <f t="shared" si="3"/>
        <v>1230</v>
      </c>
    </row>
    <row r="11" spans="1:14" x14ac:dyDescent="0.3">
      <c r="A11" s="3">
        <v>45697</v>
      </c>
      <c r="B11" s="18">
        <v>330</v>
      </c>
      <c r="C11" s="18">
        <v>2640</v>
      </c>
      <c r="D11" s="18">
        <v>0</v>
      </c>
      <c r="E11" s="18">
        <v>2640</v>
      </c>
      <c r="F11" s="15">
        <f t="shared" si="0"/>
        <v>-330</v>
      </c>
      <c r="G11" s="19">
        <f t="shared" si="0"/>
        <v>0</v>
      </c>
      <c r="H11" s="20">
        <v>329.39</v>
      </c>
      <c r="I11" s="21">
        <v>525</v>
      </c>
      <c r="J11" s="21">
        <v>640</v>
      </c>
      <c r="K11" s="31">
        <f t="shared" si="1"/>
        <v>2970</v>
      </c>
      <c r="L11" s="26">
        <f t="shared" si="2"/>
        <v>-195</v>
      </c>
      <c r="M11" s="25">
        <f t="shared" si="3"/>
        <v>2000</v>
      </c>
    </row>
    <row r="12" spans="1:14" x14ac:dyDescent="0.3">
      <c r="A12" s="3">
        <v>45698</v>
      </c>
      <c r="B12" s="18">
        <v>0</v>
      </c>
      <c r="C12" s="18">
        <v>2360</v>
      </c>
      <c r="D12" s="18">
        <v>0</v>
      </c>
      <c r="E12" s="18">
        <v>2360</v>
      </c>
      <c r="F12" s="15">
        <f t="shared" si="0"/>
        <v>0</v>
      </c>
      <c r="G12" s="19">
        <f t="shared" si="0"/>
        <v>0</v>
      </c>
      <c r="H12" s="20">
        <v>351.67</v>
      </c>
      <c r="I12" s="21">
        <v>285</v>
      </c>
      <c r="J12" s="21">
        <v>11540</v>
      </c>
      <c r="K12" s="31">
        <f t="shared" si="1"/>
        <v>2360</v>
      </c>
      <c r="L12" s="26">
        <f t="shared" si="2"/>
        <v>-285</v>
      </c>
      <c r="M12" s="25">
        <f t="shared" si="3"/>
        <v>-9180</v>
      </c>
      <c r="N12" t="s">
        <v>17</v>
      </c>
    </row>
    <row r="13" spans="1:14" x14ac:dyDescent="0.3">
      <c r="A13" s="3">
        <v>45699</v>
      </c>
      <c r="B13" s="18">
        <v>400</v>
      </c>
      <c r="C13" s="18">
        <v>2375</v>
      </c>
      <c r="D13" s="18">
        <v>0</v>
      </c>
      <c r="E13" s="18">
        <v>2375</v>
      </c>
      <c r="F13" s="15">
        <f t="shared" si="0"/>
        <v>-400</v>
      </c>
      <c r="G13" s="19">
        <f t="shared" si="0"/>
        <v>0</v>
      </c>
      <c r="H13" s="20">
        <v>232.95</v>
      </c>
      <c r="I13" s="21">
        <v>200</v>
      </c>
      <c r="J13" s="21">
        <v>330</v>
      </c>
      <c r="K13" s="31">
        <f t="shared" si="1"/>
        <v>2775</v>
      </c>
      <c r="L13" s="26">
        <f t="shared" si="2"/>
        <v>200</v>
      </c>
      <c r="M13" s="25">
        <f t="shared" si="3"/>
        <v>2045</v>
      </c>
    </row>
    <row r="14" spans="1:14" x14ac:dyDescent="0.3">
      <c r="A14" s="3">
        <v>45700</v>
      </c>
      <c r="B14" s="18">
        <v>400</v>
      </c>
      <c r="C14" s="18">
        <v>3970</v>
      </c>
      <c r="D14" s="18">
        <v>0</v>
      </c>
      <c r="E14" s="18">
        <v>3970</v>
      </c>
      <c r="F14" s="15">
        <f t="shared" si="0"/>
        <v>-400</v>
      </c>
      <c r="G14" s="19">
        <f t="shared" si="0"/>
        <v>0</v>
      </c>
      <c r="H14" s="20">
        <v>461.67</v>
      </c>
      <c r="I14" s="21">
        <v>525</v>
      </c>
      <c r="J14" s="21">
        <v>0</v>
      </c>
      <c r="K14" s="31">
        <f t="shared" si="1"/>
        <v>4370</v>
      </c>
      <c r="L14" s="26">
        <f t="shared" si="2"/>
        <v>-125</v>
      </c>
      <c r="M14" s="25">
        <f t="shared" si="3"/>
        <v>3970</v>
      </c>
    </row>
    <row r="15" spans="1:14" x14ac:dyDescent="0.3">
      <c r="A15" s="3">
        <v>45701</v>
      </c>
      <c r="B15" s="18">
        <v>400</v>
      </c>
      <c r="C15" s="18">
        <v>3440</v>
      </c>
      <c r="D15" s="18">
        <v>0</v>
      </c>
      <c r="E15" s="18">
        <v>3440</v>
      </c>
      <c r="F15" s="15">
        <f t="shared" si="0"/>
        <v>-400</v>
      </c>
      <c r="G15" s="19">
        <f t="shared" si="0"/>
        <v>0</v>
      </c>
      <c r="H15" s="20">
        <v>392.27</v>
      </c>
      <c r="I15" s="21">
        <v>600</v>
      </c>
      <c r="J15" s="21">
        <v>345</v>
      </c>
      <c r="K15" s="31">
        <f t="shared" si="1"/>
        <v>3840</v>
      </c>
      <c r="L15" s="26">
        <f t="shared" si="2"/>
        <v>-200</v>
      </c>
      <c r="M15" s="25">
        <f t="shared" si="3"/>
        <v>3095</v>
      </c>
    </row>
    <row r="16" spans="1:14" x14ac:dyDescent="0.3">
      <c r="A16" s="3">
        <v>45702</v>
      </c>
      <c r="B16" s="18">
        <v>1010</v>
      </c>
      <c r="C16" s="18">
        <v>4460</v>
      </c>
      <c r="D16" s="18">
        <v>0</v>
      </c>
      <c r="E16" s="18">
        <v>4460</v>
      </c>
      <c r="F16" s="15">
        <f t="shared" si="0"/>
        <v>-1010</v>
      </c>
      <c r="G16" s="19">
        <f t="shared" si="0"/>
        <v>0</v>
      </c>
      <c r="H16" s="20">
        <v>512.28</v>
      </c>
      <c r="I16" s="21">
        <v>305</v>
      </c>
      <c r="J16" s="21">
        <v>6515</v>
      </c>
      <c r="K16" s="31">
        <f t="shared" si="1"/>
        <v>5470</v>
      </c>
      <c r="L16" s="26">
        <f t="shared" si="2"/>
        <v>705</v>
      </c>
      <c r="M16" s="25">
        <f t="shared" si="3"/>
        <v>-2055</v>
      </c>
    </row>
    <row r="17" spans="1:14" x14ac:dyDescent="0.3">
      <c r="A17" s="3">
        <v>45703</v>
      </c>
      <c r="B17" s="18">
        <v>870</v>
      </c>
      <c r="C17" s="18">
        <v>680</v>
      </c>
      <c r="D17" s="18">
        <v>0</v>
      </c>
      <c r="E17" s="18">
        <v>680</v>
      </c>
      <c r="F17" s="15">
        <f t="shared" si="0"/>
        <v>-870</v>
      </c>
      <c r="G17" s="19">
        <f t="shared" si="0"/>
        <v>0</v>
      </c>
      <c r="H17" s="20">
        <v>113.34</v>
      </c>
      <c r="I17" s="21">
        <v>0</v>
      </c>
      <c r="J17" s="21">
        <v>0</v>
      </c>
      <c r="K17" s="31">
        <f t="shared" si="1"/>
        <v>1550</v>
      </c>
      <c r="L17" s="26">
        <f t="shared" si="2"/>
        <v>870</v>
      </c>
      <c r="M17" s="25">
        <f t="shared" si="3"/>
        <v>680</v>
      </c>
    </row>
    <row r="18" spans="1:14" x14ac:dyDescent="0.3">
      <c r="A18" s="3">
        <v>45704</v>
      </c>
      <c r="B18" s="18">
        <v>385</v>
      </c>
      <c r="C18" s="18">
        <v>3320</v>
      </c>
      <c r="D18" s="18">
        <v>0</v>
      </c>
      <c r="E18" s="18">
        <v>3320</v>
      </c>
      <c r="F18" s="15">
        <f t="shared" si="0"/>
        <v>-385</v>
      </c>
      <c r="G18" s="19">
        <f t="shared" si="0"/>
        <v>0</v>
      </c>
      <c r="H18" s="20">
        <v>500.31</v>
      </c>
      <c r="I18" s="21">
        <v>600</v>
      </c>
      <c r="J18" s="21">
        <v>533</v>
      </c>
      <c r="K18" s="31">
        <f t="shared" si="1"/>
        <v>3705</v>
      </c>
      <c r="L18" s="26">
        <f t="shared" si="2"/>
        <v>-215</v>
      </c>
      <c r="M18" s="25">
        <f t="shared" si="3"/>
        <v>2787</v>
      </c>
    </row>
    <row r="19" spans="1:14" x14ac:dyDescent="0.3">
      <c r="A19" s="3">
        <v>45705</v>
      </c>
      <c r="B19" s="18">
        <v>1400</v>
      </c>
      <c r="C19" s="18">
        <v>3870</v>
      </c>
      <c r="D19" s="18">
        <v>0</v>
      </c>
      <c r="E19" s="18">
        <v>3870</v>
      </c>
      <c r="F19" s="15">
        <f t="shared" si="0"/>
        <v>-1400</v>
      </c>
      <c r="G19" s="19">
        <f t="shared" si="0"/>
        <v>0</v>
      </c>
      <c r="H19" s="20">
        <v>227.73</v>
      </c>
      <c r="I19" s="21">
        <v>110</v>
      </c>
      <c r="J19" s="21">
        <v>1370</v>
      </c>
      <c r="K19" s="31">
        <f t="shared" si="1"/>
        <v>5270</v>
      </c>
      <c r="L19" s="26">
        <f t="shared" si="2"/>
        <v>1290</v>
      </c>
      <c r="M19" s="25">
        <f t="shared" si="3"/>
        <v>2500</v>
      </c>
    </row>
    <row r="20" spans="1:14" x14ac:dyDescent="0.3">
      <c r="A20" s="3">
        <v>45706</v>
      </c>
      <c r="B20" s="18">
        <v>550</v>
      </c>
      <c r="C20" s="18">
        <v>1900</v>
      </c>
      <c r="D20" s="18">
        <v>0</v>
      </c>
      <c r="E20" s="18">
        <v>1900</v>
      </c>
      <c r="F20" s="15">
        <f t="shared" si="0"/>
        <v>-550</v>
      </c>
      <c r="G20" s="19">
        <f t="shared" si="0"/>
        <v>0</v>
      </c>
      <c r="H20" s="20">
        <v>298.49</v>
      </c>
      <c r="I20" s="21">
        <v>100</v>
      </c>
      <c r="J20" s="21">
        <v>2355</v>
      </c>
      <c r="K20" s="31">
        <f t="shared" si="1"/>
        <v>2450</v>
      </c>
      <c r="L20" s="26">
        <f t="shared" si="2"/>
        <v>450</v>
      </c>
      <c r="M20" s="25">
        <f t="shared" si="3"/>
        <v>-455</v>
      </c>
    </row>
    <row r="21" spans="1:14" x14ac:dyDescent="0.3">
      <c r="A21" s="3">
        <v>45707</v>
      </c>
      <c r="B21" s="18">
        <v>945</v>
      </c>
      <c r="C21" s="18">
        <v>2630</v>
      </c>
      <c r="D21" s="18">
        <v>0</v>
      </c>
      <c r="E21" s="18">
        <v>2630</v>
      </c>
      <c r="F21" s="15">
        <f t="shared" si="0"/>
        <v>-945</v>
      </c>
      <c r="G21" s="19">
        <f t="shared" si="0"/>
        <v>0</v>
      </c>
      <c r="H21" s="20">
        <v>329.25</v>
      </c>
      <c r="I21" s="21">
        <v>1200</v>
      </c>
      <c r="J21" s="21">
        <v>7000</v>
      </c>
      <c r="K21" s="31">
        <f t="shared" si="1"/>
        <v>3575</v>
      </c>
      <c r="L21" s="26">
        <f t="shared" si="2"/>
        <v>-255</v>
      </c>
      <c r="M21" s="25">
        <f t="shared" si="3"/>
        <v>-4370</v>
      </c>
    </row>
    <row r="22" spans="1:14" x14ac:dyDescent="0.3">
      <c r="A22" s="3">
        <v>45708</v>
      </c>
      <c r="B22" s="18">
        <v>1050</v>
      </c>
      <c r="C22" s="18">
        <v>3700</v>
      </c>
      <c r="D22" s="18">
        <v>0</v>
      </c>
      <c r="E22" s="18">
        <v>3700</v>
      </c>
      <c r="F22" s="15">
        <f t="shared" si="0"/>
        <v>-1050</v>
      </c>
      <c r="G22" s="19">
        <f t="shared" si="0"/>
        <v>0</v>
      </c>
      <c r="H22" s="20">
        <v>359.1</v>
      </c>
      <c r="I22" s="21">
        <v>430</v>
      </c>
      <c r="J22" s="21">
        <v>4200</v>
      </c>
      <c r="K22" s="31">
        <f t="shared" si="1"/>
        <v>4750</v>
      </c>
      <c r="L22" s="26">
        <f t="shared" si="2"/>
        <v>620</v>
      </c>
      <c r="M22" s="25">
        <f t="shared" si="3"/>
        <v>-500</v>
      </c>
    </row>
    <row r="23" spans="1:14" x14ac:dyDescent="0.3">
      <c r="A23" s="3">
        <v>45709</v>
      </c>
      <c r="B23" s="18">
        <v>1500</v>
      </c>
      <c r="C23" s="18">
        <v>1060</v>
      </c>
      <c r="D23" s="18">
        <v>0</v>
      </c>
      <c r="E23" s="18">
        <v>1060</v>
      </c>
      <c r="F23" s="15">
        <f t="shared" si="0"/>
        <v>-1500</v>
      </c>
      <c r="G23" s="19">
        <f t="shared" si="0"/>
        <v>0</v>
      </c>
      <c r="H23" s="20">
        <v>176.67</v>
      </c>
      <c r="I23" s="21">
        <v>1275</v>
      </c>
      <c r="J23" s="21">
        <v>0</v>
      </c>
      <c r="K23" s="31">
        <f t="shared" si="1"/>
        <v>2560</v>
      </c>
      <c r="L23" s="26">
        <f t="shared" si="2"/>
        <v>225</v>
      </c>
      <c r="M23" s="25">
        <f t="shared" si="3"/>
        <v>1060</v>
      </c>
    </row>
    <row r="24" spans="1:14" x14ac:dyDescent="0.3">
      <c r="A24" s="3">
        <v>45710</v>
      </c>
      <c r="B24" s="18">
        <v>760</v>
      </c>
      <c r="C24" s="18">
        <v>2300</v>
      </c>
      <c r="D24" s="18">
        <v>0</v>
      </c>
      <c r="E24" s="18">
        <v>2300</v>
      </c>
      <c r="F24" s="15">
        <f t="shared" si="0"/>
        <v>-760</v>
      </c>
      <c r="G24" s="19">
        <f t="shared" si="0"/>
        <v>0</v>
      </c>
      <c r="H24" s="20">
        <v>337.88</v>
      </c>
      <c r="I24" s="21">
        <v>1100</v>
      </c>
      <c r="J24" s="21">
        <v>880</v>
      </c>
      <c r="K24" s="31">
        <f t="shared" si="1"/>
        <v>3060</v>
      </c>
      <c r="L24" s="26">
        <f t="shared" si="2"/>
        <v>-340</v>
      </c>
      <c r="M24" s="25">
        <f t="shared" si="3"/>
        <v>1420</v>
      </c>
    </row>
    <row r="25" spans="1:14" x14ac:dyDescent="0.3">
      <c r="A25" s="3">
        <v>45711</v>
      </c>
      <c r="B25" s="18">
        <v>400</v>
      </c>
      <c r="C25" s="18">
        <v>3860</v>
      </c>
      <c r="D25" s="18">
        <v>0</v>
      </c>
      <c r="E25" s="18">
        <v>3860</v>
      </c>
      <c r="F25" s="15">
        <f t="shared" si="0"/>
        <v>-400</v>
      </c>
      <c r="G25" s="19">
        <f t="shared" si="0"/>
        <v>0</v>
      </c>
      <c r="H25" s="20">
        <v>500.92</v>
      </c>
      <c r="I25" s="21">
        <v>860</v>
      </c>
      <c r="J25" s="21">
        <v>575</v>
      </c>
      <c r="K25" s="31">
        <f t="shared" si="1"/>
        <v>4260</v>
      </c>
      <c r="L25" s="26">
        <f t="shared" si="2"/>
        <v>-460</v>
      </c>
      <c r="M25" s="25">
        <f t="shared" si="3"/>
        <v>3285</v>
      </c>
      <c r="N25" t="s">
        <v>18</v>
      </c>
    </row>
    <row r="26" spans="1:14" x14ac:dyDescent="0.3">
      <c r="A26" s="3">
        <v>45712</v>
      </c>
      <c r="B26" s="18">
        <v>60</v>
      </c>
      <c r="C26" s="18">
        <v>200</v>
      </c>
      <c r="D26" s="18">
        <v>0</v>
      </c>
      <c r="E26" s="18">
        <v>200</v>
      </c>
      <c r="F26" s="15">
        <f t="shared" si="0"/>
        <v>-60</v>
      </c>
      <c r="G26" s="19">
        <f t="shared" si="0"/>
        <v>0</v>
      </c>
      <c r="H26" s="20">
        <v>33.33</v>
      </c>
      <c r="I26" s="21">
        <v>260</v>
      </c>
      <c r="J26" s="21">
        <v>600</v>
      </c>
      <c r="K26" s="31">
        <f t="shared" si="1"/>
        <v>260</v>
      </c>
      <c r="L26" s="26">
        <f t="shared" si="2"/>
        <v>-200</v>
      </c>
      <c r="M26" s="25">
        <f t="shared" si="3"/>
        <v>-400</v>
      </c>
    </row>
    <row r="27" spans="1:14" x14ac:dyDescent="0.3">
      <c r="A27" s="3">
        <v>45713</v>
      </c>
      <c r="B27" s="18">
        <v>265</v>
      </c>
      <c r="C27" s="18">
        <v>1480</v>
      </c>
      <c r="D27" s="18">
        <v>0</v>
      </c>
      <c r="E27" s="18">
        <v>1480</v>
      </c>
      <c r="F27" s="15">
        <f t="shared" si="0"/>
        <v>-265</v>
      </c>
      <c r="G27" s="19">
        <f t="shared" si="0"/>
        <v>0</v>
      </c>
      <c r="H27" s="20">
        <v>75.45</v>
      </c>
      <c r="I27" s="21">
        <v>200</v>
      </c>
      <c r="J27" s="21">
        <v>200</v>
      </c>
      <c r="K27" s="31">
        <f t="shared" si="1"/>
        <v>1745</v>
      </c>
      <c r="L27" s="26">
        <f t="shared" si="2"/>
        <v>65</v>
      </c>
      <c r="M27" s="25">
        <f t="shared" si="3"/>
        <v>1280</v>
      </c>
    </row>
    <row r="28" spans="1:14" x14ac:dyDescent="0.3">
      <c r="A28" s="3">
        <v>45714</v>
      </c>
      <c r="B28" s="18">
        <v>400</v>
      </c>
      <c r="C28" s="18">
        <v>1170</v>
      </c>
      <c r="D28" s="18">
        <v>0</v>
      </c>
      <c r="E28" s="18">
        <v>1170</v>
      </c>
      <c r="F28" s="15">
        <f t="shared" si="0"/>
        <v>-400</v>
      </c>
      <c r="G28" s="19">
        <f t="shared" si="0"/>
        <v>0</v>
      </c>
      <c r="H28" s="20">
        <v>126.82</v>
      </c>
      <c r="I28" s="21">
        <v>250</v>
      </c>
      <c r="J28" s="21">
        <v>4495</v>
      </c>
      <c r="K28" s="31">
        <f t="shared" si="1"/>
        <v>1570</v>
      </c>
      <c r="L28" s="26">
        <f t="shared" si="2"/>
        <v>150</v>
      </c>
      <c r="M28" s="25">
        <f t="shared" si="3"/>
        <v>-3325</v>
      </c>
    </row>
    <row r="29" spans="1:14" x14ac:dyDescent="0.3">
      <c r="A29" s="3">
        <v>45715</v>
      </c>
      <c r="B29" s="18">
        <v>470</v>
      </c>
      <c r="C29" s="18">
        <v>3850</v>
      </c>
      <c r="D29" s="18">
        <v>0</v>
      </c>
      <c r="E29" s="18">
        <v>3850</v>
      </c>
      <c r="F29" s="15">
        <f t="shared" si="0"/>
        <v>-470</v>
      </c>
      <c r="G29" s="19">
        <f t="shared" si="0"/>
        <v>0</v>
      </c>
      <c r="H29" s="20">
        <v>437.88</v>
      </c>
      <c r="I29" s="21">
        <v>275</v>
      </c>
      <c r="J29" s="21">
        <v>5000</v>
      </c>
      <c r="K29" s="31">
        <f t="shared" si="1"/>
        <v>4320</v>
      </c>
      <c r="L29" s="26">
        <f t="shared" si="2"/>
        <v>195</v>
      </c>
      <c r="M29" s="25">
        <f t="shared" si="3"/>
        <v>-1150</v>
      </c>
    </row>
    <row r="30" spans="1:14" x14ac:dyDescent="0.3">
      <c r="A30" s="3">
        <v>45716</v>
      </c>
      <c r="B30" s="18">
        <v>1300</v>
      </c>
      <c r="C30" s="18">
        <v>2010</v>
      </c>
      <c r="D30" s="18">
        <v>0</v>
      </c>
      <c r="E30" s="18">
        <v>2010</v>
      </c>
      <c r="F30" s="15">
        <f t="shared" si="0"/>
        <v>-1300</v>
      </c>
      <c r="G30" s="19">
        <f t="shared" si="0"/>
        <v>0</v>
      </c>
      <c r="H30" s="20">
        <v>321.67</v>
      </c>
      <c r="I30" s="21">
        <v>370</v>
      </c>
      <c r="J30" s="21">
        <v>990</v>
      </c>
      <c r="K30" s="31">
        <f t="shared" si="1"/>
        <v>3310</v>
      </c>
      <c r="L30" s="26">
        <f t="shared" si="2"/>
        <v>930</v>
      </c>
      <c r="M30" s="25">
        <f t="shared" si="3"/>
        <v>1020</v>
      </c>
    </row>
    <row r="31" spans="1:14" x14ac:dyDescent="0.3">
      <c r="A31" s="3"/>
      <c r="B31" s="18"/>
      <c r="C31" s="18"/>
      <c r="D31" s="18"/>
      <c r="E31" s="18"/>
      <c r="F31" s="15">
        <f t="shared" si="0"/>
        <v>0</v>
      </c>
      <c r="G31" s="19">
        <f t="shared" si="0"/>
        <v>0</v>
      </c>
      <c r="H31" s="20"/>
      <c r="I31" s="21"/>
      <c r="J31" s="21"/>
      <c r="K31" s="31">
        <f t="shared" si="1"/>
        <v>0</v>
      </c>
      <c r="L31" s="26">
        <f t="shared" si="2"/>
        <v>0</v>
      </c>
      <c r="M31" s="25">
        <f t="shared" si="3"/>
        <v>0</v>
      </c>
    </row>
    <row r="32" spans="1:14" x14ac:dyDescent="0.3">
      <c r="A32" s="3"/>
      <c r="B32" s="18"/>
      <c r="C32" s="18"/>
      <c r="D32" s="18"/>
      <c r="E32" s="18"/>
      <c r="F32" s="15">
        <f t="shared" si="0"/>
        <v>0</v>
      </c>
      <c r="G32" s="19">
        <f t="shared" si="0"/>
        <v>0</v>
      </c>
      <c r="H32" s="20"/>
      <c r="I32" s="21"/>
      <c r="J32" s="21"/>
      <c r="K32" s="31">
        <f t="shared" si="1"/>
        <v>0</v>
      </c>
      <c r="L32" s="26">
        <f t="shared" si="2"/>
        <v>0</v>
      </c>
      <c r="M32" s="25">
        <f t="shared" si="3"/>
        <v>0</v>
      </c>
    </row>
    <row r="33" spans="1:14" x14ac:dyDescent="0.3">
      <c r="A33" s="3"/>
      <c r="B33" s="18"/>
      <c r="C33" s="18"/>
      <c r="D33" s="18"/>
      <c r="E33" s="18"/>
      <c r="F33" s="15">
        <f t="shared" si="0"/>
        <v>0</v>
      </c>
      <c r="G33" s="19">
        <f t="shared" si="0"/>
        <v>0</v>
      </c>
      <c r="H33" s="20"/>
      <c r="I33" s="21"/>
      <c r="J33" s="33"/>
      <c r="K33" s="31">
        <f t="shared" si="1"/>
        <v>0</v>
      </c>
      <c r="L33" s="26">
        <f t="shared" si="2"/>
        <v>0</v>
      </c>
      <c r="M33" s="25">
        <f t="shared" si="3"/>
        <v>0</v>
      </c>
    </row>
    <row r="34" spans="1:14" s="8" customFormat="1" ht="27.6" customHeight="1" x14ac:dyDescent="0.35">
      <c r="A34" s="7" t="s">
        <v>4</v>
      </c>
      <c r="B34" s="22">
        <f>SUM(B3:B33)</f>
        <v>18725</v>
      </c>
      <c r="C34" s="22">
        <f>SUM(C3:C33)</f>
        <v>74565</v>
      </c>
      <c r="D34" s="22"/>
      <c r="E34" s="22">
        <f t="shared" ref="E34:M34" si="4">SUM(E3:E33)</f>
        <v>74565</v>
      </c>
      <c r="F34" s="15">
        <f t="shared" si="4"/>
        <v>-18725</v>
      </c>
      <c r="G34" s="23">
        <f t="shared" si="4"/>
        <v>0</v>
      </c>
      <c r="H34" s="24">
        <f t="shared" si="4"/>
        <v>9088.909999999998</v>
      </c>
      <c r="I34" s="24">
        <f t="shared" si="4"/>
        <v>14170</v>
      </c>
      <c r="J34" s="24">
        <f t="shared" si="4"/>
        <v>79378</v>
      </c>
      <c r="K34" s="32">
        <f t="shared" si="4"/>
        <v>93290</v>
      </c>
      <c r="L34" s="27">
        <f t="shared" si="4"/>
        <v>4555</v>
      </c>
      <c r="M34" s="27">
        <f t="shared" si="4"/>
        <v>-4813</v>
      </c>
      <c r="N34" s="13"/>
    </row>
    <row r="37" spans="1:14" ht="18" x14ac:dyDescent="0.3">
      <c r="G37" s="51" t="s">
        <v>14</v>
      </c>
      <c r="H37" s="51"/>
      <c r="I37" s="12">
        <f>SUM(K3:K33)</f>
        <v>93290</v>
      </c>
    </row>
    <row r="38" spans="1:14" ht="18" x14ac:dyDescent="0.3">
      <c r="G38" s="51" t="s">
        <v>16</v>
      </c>
      <c r="H38" s="51"/>
      <c r="I38" s="12">
        <f>SUM(+I34+J34)</f>
        <v>93548</v>
      </c>
    </row>
    <row r="39" spans="1:14" ht="18" x14ac:dyDescent="0.3">
      <c r="G39" s="51" t="s">
        <v>15</v>
      </c>
      <c r="H39" s="51"/>
      <c r="I39" s="12">
        <f>SUM(L34+M34)</f>
        <v>-258</v>
      </c>
    </row>
  </sheetData>
  <mergeCells count="3">
    <mergeCell ref="G37:H37"/>
    <mergeCell ref="G38:H38"/>
    <mergeCell ref="G39:H3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9"/>
  <sheetViews>
    <sheetView topLeftCell="A17" workbookViewId="0">
      <selection activeCell="I35" sqref="I35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4" ht="16.2" hidden="1" thickBot="1" x14ac:dyDescent="0.35"/>
    <row r="2" spans="1:14" ht="54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4" x14ac:dyDescent="0.3">
      <c r="A3" s="3">
        <v>45658</v>
      </c>
      <c r="B3" s="14">
        <v>460</v>
      </c>
      <c r="C3" s="14">
        <v>1460</v>
      </c>
      <c r="D3" s="14">
        <v>0</v>
      </c>
      <c r="E3" s="14">
        <v>1460</v>
      </c>
      <c r="F3" s="15">
        <f>SUM(D3-B3)</f>
        <v>-460</v>
      </c>
      <c r="G3" s="15">
        <f>SUM(E3-C3)</f>
        <v>0</v>
      </c>
      <c r="H3" s="16">
        <v>243.34</v>
      </c>
      <c r="I3" s="17">
        <v>1255</v>
      </c>
      <c r="J3" s="17">
        <v>0</v>
      </c>
      <c r="K3" s="31">
        <f>SUM(B3:C3)</f>
        <v>1920</v>
      </c>
      <c r="L3" s="25">
        <f>SUM(B3-I3)</f>
        <v>-795</v>
      </c>
      <c r="M3" s="25">
        <f>SUM(E3-J3)</f>
        <v>1460</v>
      </c>
    </row>
    <row r="4" spans="1:14" x14ac:dyDescent="0.3">
      <c r="A4" s="3">
        <v>45659</v>
      </c>
      <c r="B4" s="18">
        <v>500</v>
      </c>
      <c r="C4" s="18">
        <v>2680</v>
      </c>
      <c r="D4" s="18">
        <v>0</v>
      </c>
      <c r="E4" s="18">
        <v>2680</v>
      </c>
      <c r="F4" s="15">
        <f t="shared" ref="F4:G33" si="0">SUM(D4-B4)</f>
        <v>-500</v>
      </c>
      <c r="G4" s="19">
        <f t="shared" si="0"/>
        <v>0</v>
      </c>
      <c r="H4" s="20">
        <v>388.33</v>
      </c>
      <c r="I4" s="21">
        <v>0</v>
      </c>
      <c r="J4" s="21">
        <v>900</v>
      </c>
      <c r="K4" s="32">
        <f t="shared" ref="K4:K33" si="1">SUM(B4:C4)</f>
        <v>3180</v>
      </c>
      <c r="L4" s="26">
        <f t="shared" ref="L4:L33" si="2">SUM(B4-I4)</f>
        <v>500</v>
      </c>
      <c r="M4" s="25">
        <f t="shared" ref="M4:M33" si="3">SUM(E4-J4)</f>
        <v>1780</v>
      </c>
    </row>
    <row r="5" spans="1:14" x14ac:dyDescent="0.3">
      <c r="A5" s="3">
        <v>45660</v>
      </c>
      <c r="B5" s="18">
        <v>100</v>
      </c>
      <c r="C5" s="18">
        <v>1160</v>
      </c>
      <c r="D5" s="18">
        <v>0</v>
      </c>
      <c r="E5" s="18">
        <v>1160</v>
      </c>
      <c r="F5" s="15">
        <f t="shared" si="0"/>
        <v>-100</v>
      </c>
      <c r="G5" s="19">
        <f t="shared" si="0"/>
        <v>0</v>
      </c>
      <c r="H5" s="20">
        <v>193.34</v>
      </c>
      <c r="I5" s="21">
        <v>410</v>
      </c>
      <c r="J5" s="21">
        <v>4830</v>
      </c>
      <c r="K5" s="32">
        <f t="shared" si="1"/>
        <v>1260</v>
      </c>
      <c r="L5" s="26">
        <f t="shared" si="2"/>
        <v>-310</v>
      </c>
      <c r="M5" s="25">
        <f t="shared" si="3"/>
        <v>-3670</v>
      </c>
    </row>
    <row r="6" spans="1:14" x14ac:dyDescent="0.3">
      <c r="A6" s="3">
        <v>45661</v>
      </c>
      <c r="B6" s="18">
        <v>2090</v>
      </c>
      <c r="C6" s="18">
        <v>3550</v>
      </c>
      <c r="D6" s="18">
        <v>0</v>
      </c>
      <c r="E6" s="18">
        <v>3550</v>
      </c>
      <c r="F6" s="15">
        <f t="shared" si="0"/>
        <v>-2090</v>
      </c>
      <c r="G6" s="19">
        <f t="shared" si="0"/>
        <v>0</v>
      </c>
      <c r="H6" s="20">
        <v>468.18</v>
      </c>
      <c r="I6" s="21">
        <v>0</v>
      </c>
      <c r="J6" s="21">
        <v>0</v>
      </c>
      <c r="K6" s="32">
        <f t="shared" si="1"/>
        <v>5640</v>
      </c>
      <c r="L6" s="26">
        <f t="shared" si="2"/>
        <v>2090</v>
      </c>
      <c r="M6" s="25">
        <f t="shared" si="3"/>
        <v>3550</v>
      </c>
    </row>
    <row r="7" spans="1:14" x14ac:dyDescent="0.3">
      <c r="A7" s="3">
        <v>45662</v>
      </c>
      <c r="B7" s="18">
        <v>2200</v>
      </c>
      <c r="C7" s="28">
        <v>580</v>
      </c>
      <c r="D7" s="18">
        <v>0</v>
      </c>
      <c r="E7" s="18">
        <v>580</v>
      </c>
      <c r="F7" s="15">
        <f t="shared" si="0"/>
        <v>-2200</v>
      </c>
      <c r="G7" s="19">
        <f t="shared" si="0"/>
        <v>0</v>
      </c>
      <c r="H7" s="20">
        <v>85.31</v>
      </c>
      <c r="I7" s="21">
        <v>400</v>
      </c>
      <c r="J7" s="21">
        <v>0</v>
      </c>
      <c r="K7" s="32">
        <f t="shared" si="1"/>
        <v>2780</v>
      </c>
      <c r="L7" s="26">
        <f t="shared" si="2"/>
        <v>1800</v>
      </c>
      <c r="M7" s="25">
        <f t="shared" si="3"/>
        <v>580</v>
      </c>
    </row>
    <row r="8" spans="1:14" x14ac:dyDescent="0.3">
      <c r="A8" s="3">
        <v>45663</v>
      </c>
      <c r="B8" s="18">
        <v>550</v>
      </c>
      <c r="C8" s="28">
        <v>4550</v>
      </c>
      <c r="D8" s="18">
        <v>0</v>
      </c>
      <c r="E8" s="18">
        <v>4550</v>
      </c>
      <c r="F8" s="15">
        <f t="shared" si="0"/>
        <v>-550</v>
      </c>
      <c r="G8" s="19">
        <v>0</v>
      </c>
      <c r="H8" s="20">
        <v>482.58</v>
      </c>
      <c r="I8" s="21">
        <v>300</v>
      </c>
      <c r="J8" s="21">
        <v>17800</v>
      </c>
      <c r="K8" s="32">
        <f t="shared" si="1"/>
        <v>5100</v>
      </c>
      <c r="L8" s="26">
        <f t="shared" si="2"/>
        <v>250</v>
      </c>
      <c r="M8" s="25">
        <f t="shared" si="3"/>
        <v>-13250</v>
      </c>
    </row>
    <row r="9" spans="1:14" x14ac:dyDescent="0.3">
      <c r="A9" s="3">
        <v>45664</v>
      </c>
      <c r="B9" s="18">
        <v>400</v>
      </c>
      <c r="C9" s="18">
        <v>3830</v>
      </c>
      <c r="D9" s="18">
        <v>0</v>
      </c>
      <c r="E9" s="18">
        <v>3830</v>
      </c>
      <c r="F9" s="15">
        <f t="shared" si="0"/>
        <v>-400</v>
      </c>
      <c r="G9" s="19">
        <f t="shared" si="0"/>
        <v>0</v>
      </c>
      <c r="H9" s="20">
        <v>600.45000000000005</v>
      </c>
      <c r="I9" s="21">
        <v>750</v>
      </c>
      <c r="J9" s="21">
        <v>0</v>
      </c>
      <c r="K9" s="32">
        <f t="shared" si="1"/>
        <v>4230</v>
      </c>
      <c r="L9" s="26">
        <f t="shared" si="2"/>
        <v>-350</v>
      </c>
      <c r="M9" s="25">
        <f t="shared" si="3"/>
        <v>3830</v>
      </c>
    </row>
    <row r="10" spans="1:14" x14ac:dyDescent="0.3">
      <c r="A10" s="3">
        <v>45665</v>
      </c>
      <c r="B10" s="18">
        <v>1600</v>
      </c>
      <c r="C10" s="18">
        <v>1640</v>
      </c>
      <c r="D10" s="18">
        <v>0</v>
      </c>
      <c r="E10" s="18">
        <v>1640</v>
      </c>
      <c r="F10" s="15">
        <f t="shared" si="0"/>
        <v>-1600</v>
      </c>
      <c r="G10" s="19">
        <f t="shared" si="0"/>
        <v>0</v>
      </c>
      <c r="H10" s="20">
        <v>218.79</v>
      </c>
      <c r="I10" s="21">
        <v>230</v>
      </c>
      <c r="J10" s="21">
        <v>0</v>
      </c>
      <c r="K10" s="32">
        <f t="shared" si="1"/>
        <v>3240</v>
      </c>
      <c r="L10" s="26">
        <f t="shared" si="2"/>
        <v>1370</v>
      </c>
      <c r="M10" s="25">
        <f t="shared" si="3"/>
        <v>1640</v>
      </c>
    </row>
    <row r="11" spans="1:14" x14ac:dyDescent="0.3">
      <c r="A11" s="3">
        <v>45666</v>
      </c>
      <c r="B11" s="18">
        <v>700</v>
      </c>
      <c r="C11" s="18">
        <v>2260</v>
      </c>
      <c r="D11" s="18">
        <v>0</v>
      </c>
      <c r="E11" s="18">
        <v>2260</v>
      </c>
      <c r="F11" s="15">
        <f t="shared" si="0"/>
        <v>-700</v>
      </c>
      <c r="G11" s="19">
        <f t="shared" si="0"/>
        <v>0</v>
      </c>
      <c r="H11" s="20">
        <v>321.36</v>
      </c>
      <c r="I11" s="21">
        <v>445</v>
      </c>
      <c r="J11" s="21">
        <v>0</v>
      </c>
      <c r="K11" s="32">
        <f t="shared" si="1"/>
        <v>2960</v>
      </c>
      <c r="L11" s="26">
        <f t="shared" si="2"/>
        <v>255</v>
      </c>
      <c r="M11" s="25">
        <f t="shared" si="3"/>
        <v>2260</v>
      </c>
    </row>
    <row r="12" spans="1:14" x14ac:dyDescent="0.3">
      <c r="A12" s="3">
        <v>45667</v>
      </c>
      <c r="B12" s="18">
        <v>940</v>
      </c>
      <c r="C12" s="18">
        <v>2010</v>
      </c>
      <c r="D12" s="18">
        <v>0</v>
      </c>
      <c r="E12" s="18">
        <v>2010</v>
      </c>
      <c r="F12" s="15">
        <f t="shared" si="0"/>
        <v>-940</v>
      </c>
      <c r="G12" s="19">
        <f t="shared" si="0"/>
        <v>0</v>
      </c>
      <c r="H12" s="20">
        <v>281.67</v>
      </c>
      <c r="I12" s="21">
        <v>6365</v>
      </c>
      <c r="J12" s="21">
        <v>6000</v>
      </c>
      <c r="K12" s="32">
        <f t="shared" si="1"/>
        <v>2950</v>
      </c>
      <c r="L12" s="26">
        <f t="shared" si="2"/>
        <v>-5425</v>
      </c>
      <c r="M12" s="25">
        <f t="shared" si="3"/>
        <v>-3990</v>
      </c>
      <c r="N12" t="s">
        <v>17</v>
      </c>
    </row>
    <row r="13" spans="1:14" x14ac:dyDescent="0.3">
      <c r="A13" s="3">
        <v>45668</v>
      </c>
      <c r="B13" s="18">
        <v>1710</v>
      </c>
      <c r="C13" s="18">
        <v>1300</v>
      </c>
      <c r="D13" s="18">
        <v>0</v>
      </c>
      <c r="E13" s="18">
        <v>1300</v>
      </c>
      <c r="F13" s="15">
        <f t="shared" si="0"/>
        <v>-1710</v>
      </c>
      <c r="G13" s="19">
        <f t="shared" si="0"/>
        <v>0</v>
      </c>
      <c r="H13" s="20">
        <v>152.27000000000001</v>
      </c>
      <c r="I13" s="21">
        <v>450</v>
      </c>
      <c r="J13" s="21">
        <v>0</v>
      </c>
      <c r="K13" s="32">
        <f t="shared" si="1"/>
        <v>3010</v>
      </c>
      <c r="L13" s="26">
        <f t="shared" si="2"/>
        <v>1260</v>
      </c>
      <c r="M13" s="25">
        <f t="shared" si="3"/>
        <v>1300</v>
      </c>
    </row>
    <row r="14" spans="1:14" x14ac:dyDescent="0.3">
      <c r="A14" s="3">
        <v>45669</v>
      </c>
      <c r="B14" s="18">
        <v>490</v>
      </c>
      <c r="C14" s="18">
        <v>1910</v>
      </c>
      <c r="D14" s="18">
        <v>0</v>
      </c>
      <c r="E14" s="18">
        <v>1910</v>
      </c>
      <c r="F14" s="15">
        <f t="shared" si="0"/>
        <v>-490</v>
      </c>
      <c r="G14" s="19">
        <f t="shared" si="0"/>
        <v>0</v>
      </c>
      <c r="H14" s="20">
        <v>318.33999999999997</v>
      </c>
      <c r="I14" s="21">
        <v>190</v>
      </c>
      <c r="J14" s="21">
        <v>100</v>
      </c>
      <c r="K14" s="32">
        <f t="shared" si="1"/>
        <v>2400</v>
      </c>
      <c r="L14" s="26">
        <f t="shared" si="2"/>
        <v>300</v>
      </c>
      <c r="M14" s="25">
        <f t="shared" si="3"/>
        <v>1810</v>
      </c>
    </row>
    <row r="15" spans="1:14" x14ac:dyDescent="0.3">
      <c r="A15" s="3">
        <v>45670</v>
      </c>
      <c r="B15" s="18">
        <v>580</v>
      </c>
      <c r="C15" s="18">
        <v>2785</v>
      </c>
      <c r="D15" s="18">
        <v>0</v>
      </c>
      <c r="E15" s="18">
        <v>2785</v>
      </c>
      <c r="F15" s="15">
        <f t="shared" si="0"/>
        <v>-580</v>
      </c>
      <c r="G15" s="19">
        <f t="shared" si="0"/>
        <v>0</v>
      </c>
      <c r="H15" s="20">
        <v>370.99</v>
      </c>
      <c r="I15" s="21">
        <v>210</v>
      </c>
      <c r="J15" s="21">
        <v>100</v>
      </c>
      <c r="K15" s="32">
        <f t="shared" si="1"/>
        <v>3365</v>
      </c>
      <c r="L15" s="26">
        <f t="shared" si="2"/>
        <v>370</v>
      </c>
      <c r="M15" s="25">
        <f t="shared" si="3"/>
        <v>2685</v>
      </c>
    </row>
    <row r="16" spans="1:14" x14ac:dyDescent="0.3">
      <c r="A16" s="3">
        <v>45671</v>
      </c>
      <c r="B16" s="18">
        <v>410</v>
      </c>
      <c r="C16" s="18">
        <v>1830</v>
      </c>
      <c r="D16" s="18">
        <v>0</v>
      </c>
      <c r="E16" s="18">
        <v>1830</v>
      </c>
      <c r="F16" s="15">
        <f t="shared" si="0"/>
        <v>-410</v>
      </c>
      <c r="G16" s="19">
        <f t="shared" si="0"/>
        <v>0</v>
      </c>
      <c r="H16" s="20">
        <v>304.99</v>
      </c>
      <c r="I16" s="21">
        <v>900</v>
      </c>
      <c r="J16" s="21">
        <v>2400</v>
      </c>
      <c r="K16" s="32">
        <f t="shared" si="1"/>
        <v>2240</v>
      </c>
      <c r="L16" s="26">
        <f t="shared" si="2"/>
        <v>-490</v>
      </c>
      <c r="M16" s="25">
        <f t="shared" si="3"/>
        <v>-570</v>
      </c>
    </row>
    <row r="17" spans="1:14" x14ac:dyDescent="0.3">
      <c r="A17" s="3">
        <v>45672</v>
      </c>
      <c r="B17" s="18">
        <v>575</v>
      </c>
      <c r="C17" s="18">
        <v>1770</v>
      </c>
      <c r="D17" s="18">
        <v>0</v>
      </c>
      <c r="E17" s="18">
        <v>1770</v>
      </c>
      <c r="F17" s="15">
        <f t="shared" si="0"/>
        <v>-575</v>
      </c>
      <c r="G17" s="19">
        <f t="shared" si="0"/>
        <v>0</v>
      </c>
      <c r="H17" s="20">
        <v>207.88</v>
      </c>
      <c r="I17" s="21">
        <v>1550</v>
      </c>
      <c r="J17" s="21">
        <v>7000</v>
      </c>
      <c r="K17" s="32">
        <f t="shared" si="1"/>
        <v>2345</v>
      </c>
      <c r="L17" s="26">
        <f t="shared" si="2"/>
        <v>-975</v>
      </c>
      <c r="M17" s="25">
        <f t="shared" si="3"/>
        <v>-5230</v>
      </c>
    </row>
    <row r="18" spans="1:14" x14ac:dyDescent="0.3">
      <c r="A18" s="3">
        <v>45673</v>
      </c>
      <c r="B18" s="18">
        <v>490</v>
      </c>
      <c r="C18" s="18">
        <v>2260</v>
      </c>
      <c r="D18" s="18">
        <v>0</v>
      </c>
      <c r="E18" s="18">
        <v>2260</v>
      </c>
      <c r="F18" s="15">
        <f t="shared" si="0"/>
        <v>-490</v>
      </c>
      <c r="G18" s="19">
        <f t="shared" si="0"/>
        <v>0</v>
      </c>
      <c r="H18" s="20">
        <v>335.01</v>
      </c>
      <c r="I18" s="21">
        <v>0</v>
      </c>
      <c r="J18" s="21">
        <v>520</v>
      </c>
      <c r="K18" s="32">
        <f t="shared" si="1"/>
        <v>2750</v>
      </c>
      <c r="L18" s="26">
        <f t="shared" si="2"/>
        <v>490</v>
      </c>
      <c r="M18" s="25">
        <f t="shared" si="3"/>
        <v>1740</v>
      </c>
    </row>
    <row r="19" spans="1:14" x14ac:dyDescent="0.3">
      <c r="A19" s="3">
        <v>45674</v>
      </c>
      <c r="B19" s="18">
        <v>800</v>
      </c>
      <c r="C19" s="18">
        <v>2030</v>
      </c>
      <c r="D19" s="18">
        <v>0</v>
      </c>
      <c r="E19" s="18">
        <v>2030</v>
      </c>
      <c r="F19" s="15">
        <f t="shared" si="0"/>
        <v>-800</v>
      </c>
      <c r="G19" s="19">
        <f t="shared" si="0"/>
        <v>0</v>
      </c>
      <c r="H19" s="20">
        <v>338.34</v>
      </c>
      <c r="I19" s="21">
        <v>1160</v>
      </c>
      <c r="J19" s="21">
        <v>3400</v>
      </c>
      <c r="K19" s="32">
        <f t="shared" si="1"/>
        <v>2830</v>
      </c>
      <c r="L19" s="26">
        <f t="shared" si="2"/>
        <v>-360</v>
      </c>
      <c r="M19" s="25">
        <f t="shared" si="3"/>
        <v>-1370</v>
      </c>
    </row>
    <row r="20" spans="1:14" x14ac:dyDescent="0.3">
      <c r="A20" s="3">
        <v>45675</v>
      </c>
      <c r="B20" s="18">
        <v>800</v>
      </c>
      <c r="C20" s="18">
        <v>2880</v>
      </c>
      <c r="D20" s="18">
        <v>0</v>
      </c>
      <c r="E20" s="18">
        <v>2880</v>
      </c>
      <c r="F20" s="15">
        <f t="shared" si="0"/>
        <v>-800</v>
      </c>
      <c r="G20" s="19">
        <f t="shared" si="0"/>
        <v>0</v>
      </c>
      <c r="H20" s="20">
        <v>449.99</v>
      </c>
      <c r="I20" s="21">
        <v>300</v>
      </c>
      <c r="J20" s="21">
        <v>200</v>
      </c>
      <c r="K20" s="32">
        <f t="shared" si="1"/>
        <v>3680</v>
      </c>
      <c r="L20" s="26">
        <f t="shared" si="2"/>
        <v>500</v>
      </c>
      <c r="M20" s="25">
        <f t="shared" si="3"/>
        <v>2680</v>
      </c>
    </row>
    <row r="21" spans="1:14" x14ac:dyDescent="0.3">
      <c r="A21" s="3">
        <v>45676</v>
      </c>
      <c r="B21" s="18">
        <v>430</v>
      </c>
      <c r="C21" s="18">
        <v>2820</v>
      </c>
      <c r="D21" s="18">
        <v>0</v>
      </c>
      <c r="E21" s="18">
        <v>2820</v>
      </c>
      <c r="F21" s="15">
        <f t="shared" si="0"/>
        <v>-430</v>
      </c>
      <c r="G21" s="19">
        <f t="shared" si="0"/>
        <v>0</v>
      </c>
      <c r="H21" s="20">
        <v>470.01</v>
      </c>
      <c r="I21" s="21">
        <v>215</v>
      </c>
      <c r="J21" s="21">
        <v>0</v>
      </c>
      <c r="K21" s="32">
        <f t="shared" si="1"/>
        <v>3250</v>
      </c>
      <c r="L21" s="26">
        <f t="shared" si="2"/>
        <v>215</v>
      </c>
      <c r="M21" s="25">
        <f t="shared" si="3"/>
        <v>2820</v>
      </c>
    </row>
    <row r="22" spans="1:14" x14ac:dyDescent="0.3">
      <c r="A22" s="3">
        <v>45677</v>
      </c>
      <c r="B22" s="18">
        <v>360</v>
      </c>
      <c r="C22" s="18">
        <v>680</v>
      </c>
      <c r="D22" s="18">
        <v>0</v>
      </c>
      <c r="E22" s="18">
        <v>680</v>
      </c>
      <c r="F22" s="15">
        <f t="shared" si="0"/>
        <v>-360</v>
      </c>
      <c r="G22" s="19">
        <f t="shared" si="0"/>
        <v>0</v>
      </c>
      <c r="H22" s="20">
        <v>113.33</v>
      </c>
      <c r="I22" s="21">
        <v>400</v>
      </c>
      <c r="J22" s="21">
        <v>5215</v>
      </c>
      <c r="K22" s="32">
        <f t="shared" si="1"/>
        <v>1040</v>
      </c>
      <c r="L22" s="26">
        <f t="shared" si="2"/>
        <v>-40</v>
      </c>
      <c r="M22" s="25">
        <f t="shared" si="3"/>
        <v>-4535</v>
      </c>
    </row>
    <row r="23" spans="1:14" x14ac:dyDescent="0.3">
      <c r="A23" s="3">
        <v>45678</v>
      </c>
      <c r="B23" s="18">
        <v>740</v>
      </c>
      <c r="C23" s="18">
        <v>2880</v>
      </c>
      <c r="D23" s="18">
        <v>0</v>
      </c>
      <c r="E23" s="18">
        <v>2880</v>
      </c>
      <c r="F23" s="15">
        <f t="shared" si="0"/>
        <v>-740</v>
      </c>
      <c r="G23" s="19">
        <f t="shared" si="0"/>
        <v>0</v>
      </c>
      <c r="H23" s="20">
        <v>378.48</v>
      </c>
      <c r="I23" s="21">
        <v>70</v>
      </c>
      <c r="J23" s="21">
        <v>2500</v>
      </c>
      <c r="K23" s="32">
        <f t="shared" si="1"/>
        <v>3620</v>
      </c>
      <c r="L23" s="26">
        <f t="shared" si="2"/>
        <v>670</v>
      </c>
      <c r="M23" s="25">
        <f t="shared" si="3"/>
        <v>380</v>
      </c>
    </row>
    <row r="24" spans="1:14" x14ac:dyDescent="0.3">
      <c r="A24" s="3">
        <v>45679</v>
      </c>
      <c r="B24" s="18">
        <v>450</v>
      </c>
      <c r="C24" s="18">
        <v>2230</v>
      </c>
      <c r="D24" s="18">
        <v>0</v>
      </c>
      <c r="E24" s="18">
        <v>2230</v>
      </c>
      <c r="F24" s="15">
        <f t="shared" si="0"/>
        <v>-450</v>
      </c>
      <c r="G24" s="19">
        <f t="shared" si="0"/>
        <v>0</v>
      </c>
      <c r="H24" s="20">
        <v>298.93</v>
      </c>
      <c r="I24" s="21">
        <v>375</v>
      </c>
      <c r="J24" s="21">
        <v>325</v>
      </c>
      <c r="K24" s="32">
        <f t="shared" si="1"/>
        <v>2680</v>
      </c>
      <c r="L24" s="26">
        <f t="shared" si="2"/>
        <v>75</v>
      </c>
      <c r="M24" s="25">
        <f t="shared" si="3"/>
        <v>1905</v>
      </c>
    </row>
    <row r="25" spans="1:14" x14ac:dyDescent="0.3">
      <c r="A25" s="3">
        <v>45680</v>
      </c>
      <c r="B25" s="18">
        <v>1810</v>
      </c>
      <c r="C25" s="18">
        <v>250</v>
      </c>
      <c r="D25" s="18">
        <v>0</v>
      </c>
      <c r="E25" s="18">
        <v>250</v>
      </c>
      <c r="F25" s="15">
        <f t="shared" si="0"/>
        <v>-1810</v>
      </c>
      <c r="G25" s="19">
        <f t="shared" si="0"/>
        <v>0</v>
      </c>
      <c r="H25" s="20">
        <v>41.67</v>
      </c>
      <c r="I25" s="21">
        <v>750</v>
      </c>
      <c r="J25" s="21">
        <v>4080</v>
      </c>
      <c r="K25" s="32">
        <f t="shared" si="1"/>
        <v>2060</v>
      </c>
      <c r="L25" s="26">
        <f t="shared" si="2"/>
        <v>1060</v>
      </c>
      <c r="M25" s="25">
        <f t="shared" si="3"/>
        <v>-3830</v>
      </c>
      <c r="N25" t="s">
        <v>18</v>
      </c>
    </row>
    <row r="26" spans="1:14" x14ac:dyDescent="0.3">
      <c r="A26" s="3">
        <v>45681</v>
      </c>
      <c r="B26" s="18">
        <v>230</v>
      </c>
      <c r="C26" s="18">
        <v>2640</v>
      </c>
      <c r="D26" s="18">
        <v>0</v>
      </c>
      <c r="E26" s="18">
        <v>2640</v>
      </c>
      <c r="F26" s="15">
        <f t="shared" si="0"/>
        <v>-230</v>
      </c>
      <c r="G26" s="19">
        <f t="shared" si="0"/>
        <v>0</v>
      </c>
      <c r="H26" s="20">
        <v>440</v>
      </c>
      <c r="I26" s="21">
        <v>630</v>
      </c>
      <c r="J26" s="21">
        <v>0</v>
      </c>
      <c r="K26" s="32">
        <f t="shared" si="1"/>
        <v>2870</v>
      </c>
      <c r="L26" s="26">
        <f t="shared" si="2"/>
        <v>-400</v>
      </c>
      <c r="M26" s="25">
        <f t="shared" si="3"/>
        <v>2640</v>
      </c>
    </row>
    <row r="27" spans="1:14" x14ac:dyDescent="0.3">
      <c r="A27" s="3">
        <v>45682</v>
      </c>
      <c r="B27" s="18">
        <v>80</v>
      </c>
      <c r="C27" s="18">
        <v>4730</v>
      </c>
      <c r="D27" s="18">
        <v>0</v>
      </c>
      <c r="E27" s="18">
        <v>4730</v>
      </c>
      <c r="F27" s="15">
        <f t="shared" si="0"/>
        <v>-80</v>
      </c>
      <c r="G27" s="19">
        <f t="shared" si="0"/>
        <v>0</v>
      </c>
      <c r="H27" s="20">
        <v>601.5</v>
      </c>
      <c r="I27" s="21">
        <v>1055</v>
      </c>
      <c r="J27" s="21">
        <v>240</v>
      </c>
      <c r="K27" s="32">
        <f t="shared" si="1"/>
        <v>4810</v>
      </c>
      <c r="L27" s="26">
        <f t="shared" si="2"/>
        <v>-975</v>
      </c>
      <c r="M27" s="25">
        <f t="shared" si="3"/>
        <v>4490</v>
      </c>
    </row>
    <row r="28" spans="1:14" x14ac:dyDescent="0.3">
      <c r="A28" s="3">
        <v>45683</v>
      </c>
      <c r="B28" s="18">
        <v>900</v>
      </c>
      <c r="C28" s="18">
        <v>3230</v>
      </c>
      <c r="D28" s="18">
        <v>0</v>
      </c>
      <c r="E28" s="18">
        <v>3230</v>
      </c>
      <c r="F28" s="15">
        <f t="shared" si="0"/>
        <v>-900</v>
      </c>
      <c r="G28" s="19">
        <f t="shared" si="0"/>
        <v>0</v>
      </c>
      <c r="H28" s="20">
        <v>495.16</v>
      </c>
      <c r="I28" s="21">
        <v>260</v>
      </c>
      <c r="J28" s="21">
        <v>0</v>
      </c>
      <c r="K28" s="32">
        <f t="shared" si="1"/>
        <v>4130</v>
      </c>
      <c r="L28" s="26">
        <f t="shared" si="2"/>
        <v>640</v>
      </c>
      <c r="M28" s="25">
        <f t="shared" si="3"/>
        <v>3230</v>
      </c>
    </row>
    <row r="29" spans="1:14" x14ac:dyDescent="0.3">
      <c r="A29" s="3">
        <v>45684</v>
      </c>
      <c r="B29" s="18">
        <v>400</v>
      </c>
      <c r="C29" s="18">
        <v>2000</v>
      </c>
      <c r="D29" s="18">
        <v>0</v>
      </c>
      <c r="E29" s="18">
        <v>2000</v>
      </c>
      <c r="F29" s="15">
        <f t="shared" si="0"/>
        <v>-400</v>
      </c>
      <c r="G29" s="19">
        <f t="shared" si="0"/>
        <v>0</v>
      </c>
      <c r="H29" s="20">
        <v>257.58</v>
      </c>
      <c r="I29" s="21">
        <v>0</v>
      </c>
      <c r="J29" s="21">
        <v>0</v>
      </c>
      <c r="K29" s="32">
        <f t="shared" si="1"/>
        <v>2400</v>
      </c>
      <c r="L29" s="26">
        <f t="shared" si="2"/>
        <v>400</v>
      </c>
      <c r="M29" s="25">
        <f t="shared" si="3"/>
        <v>2000</v>
      </c>
    </row>
    <row r="30" spans="1:14" x14ac:dyDescent="0.3">
      <c r="A30" s="3">
        <v>45685</v>
      </c>
      <c r="B30" s="18">
        <v>140</v>
      </c>
      <c r="C30" s="18">
        <v>3510</v>
      </c>
      <c r="D30" s="18">
        <v>0</v>
      </c>
      <c r="E30" s="18">
        <v>3510</v>
      </c>
      <c r="F30" s="15">
        <f t="shared" si="0"/>
        <v>-140</v>
      </c>
      <c r="G30" s="19">
        <f t="shared" si="0"/>
        <v>0</v>
      </c>
      <c r="H30" s="20">
        <v>584.99</v>
      </c>
      <c r="I30" s="21">
        <v>250</v>
      </c>
      <c r="J30" s="21">
        <v>4310</v>
      </c>
      <c r="K30" s="32">
        <f t="shared" si="1"/>
        <v>3650</v>
      </c>
      <c r="L30" s="26">
        <f t="shared" si="2"/>
        <v>-110</v>
      </c>
      <c r="M30" s="25">
        <f t="shared" si="3"/>
        <v>-800</v>
      </c>
    </row>
    <row r="31" spans="1:14" x14ac:dyDescent="0.3">
      <c r="A31" s="3">
        <v>45686</v>
      </c>
      <c r="B31" s="18">
        <v>300</v>
      </c>
      <c r="C31" s="18">
        <v>4290</v>
      </c>
      <c r="D31" s="18">
        <v>0</v>
      </c>
      <c r="E31" s="18">
        <v>4290</v>
      </c>
      <c r="F31" s="15">
        <f t="shared" si="0"/>
        <v>-300</v>
      </c>
      <c r="G31" s="19">
        <f t="shared" si="0"/>
        <v>0</v>
      </c>
      <c r="H31" s="20">
        <v>608.91999999999996</v>
      </c>
      <c r="I31" s="21">
        <v>0</v>
      </c>
      <c r="J31" s="21">
        <v>2765</v>
      </c>
      <c r="K31" s="32">
        <f t="shared" si="1"/>
        <v>4590</v>
      </c>
      <c r="L31" s="26">
        <f t="shared" si="2"/>
        <v>300</v>
      </c>
      <c r="M31" s="25">
        <f t="shared" si="3"/>
        <v>1525</v>
      </c>
    </row>
    <row r="32" spans="1:14" x14ac:dyDescent="0.3">
      <c r="A32" s="3">
        <v>45687</v>
      </c>
      <c r="B32" s="18">
        <v>610</v>
      </c>
      <c r="C32" s="18">
        <v>2420</v>
      </c>
      <c r="D32" s="18">
        <v>0</v>
      </c>
      <c r="E32" s="18">
        <v>2420</v>
      </c>
      <c r="F32" s="15">
        <f t="shared" si="0"/>
        <v>-610</v>
      </c>
      <c r="G32" s="19">
        <f t="shared" si="0"/>
        <v>0</v>
      </c>
      <c r="H32" s="20">
        <v>403.33</v>
      </c>
      <c r="I32" s="21">
        <v>410</v>
      </c>
      <c r="J32" s="21">
        <v>710</v>
      </c>
      <c r="K32" s="32">
        <f t="shared" si="1"/>
        <v>3030</v>
      </c>
      <c r="L32" s="26">
        <f t="shared" si="2"/>
        <v>200</v>
      </c>
      <c r="M32" s="25">
        <f t="shared" si="3"/>
        <v>1710</v>
      </c>
    </row>
    <row r="33" spans="1:14" x14ac:dyDescent="0.3">
      <c r="A33" s="3">
        <v>45688</v>
      </c>
      <c r="B33" s="18">
        <v>720</v>
      </c>
      <c r="C33" s="18">
        <v>3015</v>
      </c>
      <c r="D33" s="18">
        <v>0</v>
      </c>
      <c r="E33" s="18">
        <v>3015</v>
      </c>
      <c r="F33" s="15">
        <f t="shared" si="0"/>
        <v>-720</v>
      </c>
      <c r="G33" s="19">
        <f t="shared" si="0"/>
        <v>0</v>
      </c>
      <c r="H33" s="20">
        <v>502.51</v>
      </c>
      <c r="I33" s="21">
        <v>280</v>
      </c>
      <c r="J33" s="33">
        <v>1065</v>
      </c>
      <c r="K33" s="32">
        <f t="shared" si="1"/>
        <v>3735</v>
      </c>
      <c r="L33" s="26">
        <f t="shared" si="2"/>
        <v>440</v>
      </c>
      <c r="M33" s="25">
        <f t="shared" si="3"/>
        <v>1950</v>
      </c>
    </row>
    <row r="34" spans="1:14" s="8" customFormat="1" ht="27.6" customHeight="1" x14ac:dyDescent="0.35">
      <c r="A34" s="7" t="s">
        <v>4</v>
      </c>
      <c r="B34" s="22">
        <f>SUM(B3:B33)</f>
        <v>22565</v>
      </c>
      <c r="C34" s="22">
        <f>SUM(C3:C33)</f>
        <v>75180</v>
      </c>
      <c r="D34" s="22"/>
      <c r="E34" s="22">
        <f t="shared" ref="E34:M34" si="4">SUM(E3:E33)</f>
        <v>75180</v>
      </c>
      <c r="F34" s="15">
        <f t="shared" si="4"/>
        <v>-22565</v>
      </c>
      <c r="G34" s="23">
        <f t="shared" si="4"/>
        <v>0</v>
      </c>
      <c r="H34" s="24">
        <f t="shared" si="4"/>
        <v>10957.57</v>
      </c>
      <c r="I34" s="24">
        <f t="shared" si="4"/>
        <v>19610</v>
      </c>
      <c r="J34" s="24">
        <f t="shared" si="4"/>
        <v>64460</v>
      </c>
      <c r="K34" s="32">
        <f t="shared" si="4"/>
        <v>97745</v>
      </c>
      <c r="L34" s="27">
        <f t="shared" si="4"/>
        <v>2955</v>
      </c>
      <c r="M34" s="27">
        <f t="shared" si="4"/>
        <v>10720</v>
      </c>
      <c r="N34" s="13"/>
    </row>
    <row r="37" spans="1:14" ht="18" x14ac:dyDescent="0.3">
      <c r="G37" s="51" t="s">
        <v>14</v>
      </c>
      <c r="H37" s="51"/>
      <c r="I37" s="12">
        <f>SUM(K3:K33)</f>
        <v>97745</v>
      </c>
    </row>
    <row r="38" spans="1:14" ht="18" x14ac:dyDescent="0.3">
      <c r="G38" s="51" t="s">
        <v>16</v>
      </c>
      <c r="H38" s="51"/>
      <c r="I38" s="12">
        <f>SUM(+I34+J34)</f>
        <v>84070</v>
      </c>
    </row>
    <row r="39" spans="1:14" ht="18" x14ac:dyDescent="0.3">
      <c r="G39" s="51" t="s">
        <v>15</v>
      </c>
      <c r="H39" s="51"/>
      <c r="I39" s="12">
        <f>SUM(L34+M34)</f>
        <v>13675</v>
      </c>
    </row>
  </sheetData>
  <mergeCells count="3">
    <mergeCell ref="G37:H37"/>
    <mergeCell ref="G38:H38"/>
    <mergeCell ref="G39:H3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9"/>
  <sheetViews>
    <sheetView topLeftCell="A17" workbookViewId="0">
      <selection activeCell="G39" sqref="G39:H39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3" ht="16.2" hidden="1" thickBot="1" x14ac:dyDescent="0.35"/>
    <row r="2" spans="1:13" ht="54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3" x14ac:dyDescent="0.3">
      <c r="A3" s="3">
        <v>45627</v>
      </c>
      <c r="B3" s="14">
        <v>50</v>
      </c>
      <c r="C3" s="14">
        <v>1020</v>
      </c>
      <c r="D3" s="14">
        <v>0</v>
      </c>
      <c r="E3" s="14">
        <v>1020</v>
      </c>
      <c r="F3" s="15">
        <f>SUM(D3-B3)</f>
        <v>-50</v>
      </c>
      <c r="G3" s="15">
        <f>SUM(E3-C3)</f>
        <v>0</v>
      </c>
      <c r="H3" s="16">
        <v>99.54</v>
      </c>
      <c r="I3" s="17">
        <v>555</v>
      </c>
      <c r="J3" s="17">
        <v>0</v>
      </c>
      <c r="K3" s="31">
        <f>SUM(B3:C3)</f>
        <v>1070</v>
      </c>
      <c r="L3" s="25">
        <f>SUM(B3-I3)</f>
        <v>-505</v>
      </c>
      <c r="M3" s="25">
        <f>SUM(E3-J3)</f>
        <v>1020</v>
      </c>
    </row>
    <row r="4" spans="1:13" x14ac:dyDescent="0.3">
      <c r="A4" s="3">
        <v>45628</v>
      </c>
      <c r="B4" s="18">
        <v>250</v>
      </c>
      <c r="C4" s="18">
        <v>800</v>
      </c>
      <c r="D4" s="18">
        <v>0</v>
      </c>
      <c r="E4" s="18">
        <v>800</v>
      </c>
      <c r="F4" s="15">
        <f t="shared" ref="F4:G33" si="0">SUM(D4-B4)</f>
        <v>-250</v>
      </c>
      <c r="G4" s="19">
        <f t="shared" si="0"/>
        <v>0</v>
      </c>
      <c r="H4" s="20">
        <v>84.09</v>
      </c>
      <c r="I4" s="21">
        <v>295</v>
      </c>
      <c r="J4" s="21">
        <v>2200</v>
      </c>
      <c r="K4" s="32">
        <f t="shared" ref="K4:K33" si="1">SUM(B4:C4)</f>
        <v>1050</v>
      </c>
      <c r="L4" s="26">
        <f t="shared" ref="L4:L33" si="2">SUM(B4-I4)</f>
        <v>-45</v>
      </c>
      <c r="M4" s="25">
        <f t="shared" ref="M4:M33" si="3">SUM(E4-J4)</f>
        <v>-1400</v>
      </c>
    </row>
    <row r="5" spans="1:13" x14ac:dyDescent="0.3">
      <c r="A5" s="3">
        <v>45629</v>
      </c>
      <c r="B5" s="18">
        <v>300</v>
      </c>
      <c r="C5" s="18">
        <v>2570</v>
      </c>
      <c r="D5" s="18">
        <v>0</v>
      </c>
      <c r="E5" s="18">
        <v>2570</v>
      </c>
      <c r="F5" s="15">
        <f t="shared" si="0"/>
        <v>-300</v>
      </c>
      <c r="G5" s="19">
        <f t="shared" si="0"/>
        <v>0</v>
      </c>
      <c r="H5" s="20">
        <v>300.89999999999998</v>
      </c>
      <c r="I5" s="21">
        <v>800</v>
      </c>
      <c r="J5" s="21">
        <v>1600</v>
      </c>
      <c r="K5" s="32">
        <f t="shared" si="1"/>
        <v>2870</v>
      </c>
      <c r="L5" s="26">
        <f t="shared" si="2"/>
        <v>-500</v>
      </c>
      <c r="M5" s="25">
        <f t="shared" si="3"/>
        <v>970</v>
      </c>
    </row>
    <row r="6" spans="1:13" x14ac:dyDescent="0.3">
      <c r="A6" s="3">
        <v>45630</v>
      </c>
      <c r="B6" s="18">
        <v>1275</v>
      </c>
      <c r="C6" s="18">
        <v>1980</v>
      </c>
      <c r="D6" s="18">
        <v>0</v>
      </c>
      <c r="E6" s="18">
        <v>1980</v>
      </c>
      <c r="F6" s="15">
        <f t="shared" si="0"/>
        <v>-1275</v>
      </c>
      <c r="G6" s="19">
        <f t="shared" si="0"/>
        <v>0</v>
      </c>
      <c r="H6" s="20">
        <v>269.39</v>
      </c>
      <c r="I6" s="21">
        <v>150</v>
      </c>
      <c r="J6" s="21">
        <v>2625</v>
      </c>
      <c r="K6" s="32">
        <f t="shared" si="1"/>
        <v>3255</v>
      </c>
      <c r="L6" s="26">
        <f t="shared" si="2"/>
        <v>1125</v>
      </c>
      <c r="M6" s="25">
        <f t="shared" si="3"/>
        <v>-645</v>
      </c>
    </row>
    <row r="7" spans="1:13" x14ac:dyDescent="0.3">
      <c r="A7" s="3">
        <v>45631</v>
      </c>
      <c r="B7" s="18">
        <v>1650</v>
      </c>
      <c r="C7" s="18">
        <v>1150</v>
      </c>
      <c r="D7" s="18">
        <v>0</v>
      </c>
      <c r="E7" s="18">
        <v>1150</v>
      </c>
      <c r="F7" s="15">
        <f t="shared" si="0"/>
        <v>-1650</v>
      </c>
      <c r="G7" s="19">
        <f t="shared" si="0"/>
        <v>0</v>
      </c>
      <c r="H7" s="20">
        <v>154.55000000000001</v>
      </c>
      <c r="I7" s="21">
        <v>200</v>
      </c>
      <c r="J7" s="21">
        <v>500</v>
      </c>
      <c r="K7" s="32">
        <f t="shared" si="1"/>
        <v>2800</v>
      </c>
      <c r="L7" s="26">
        <f t="shared" si="2"/>
        <v>1450</v>
      </c>
      <c r="M7" s="25">
        <f t="shared" si="3"/>
        <v>650</v>
      </c>
    </row>
    <row r="8" spans="1:13" x14ac:dyDescent="0.3">
      <c r="A8" s="3">
        <v>45632</v>
      </c>
      <c r="B8" s="18">
        <v>195</v>
      </c>
      <c r="C8" s="18">
        <v>2060</v>
      </c>
      <c r="D8" s="18">
        <v>0</v>
      </c>
      <c r="E8" s="18">
        <v>2060</v>
      </c>
      <c r="F8" s="15">
        <f t="shared" si="0"/>
        <v>-195</v>
      </c>
      <c r="G8" s="19">
        <v>0</v>
      </c>
      <c r="H8" s="20">
        <v>235.76</v>
      </c>
      <c r="I8" s="21">
        <v>240</v>
      </c>
      <c r="J8" s="21">
        <v>500</v>
      </c>
      <c r="K8" s="32">
        <f t="shared" si="1"/>
        <v>2255</v>
      </c>
      <c r="L8" s="26">
        <f t="shared" si="2"/>
        <v>-45</v>
      </c>
      <c r="M8" s="25">
        <f t="shared" si="3"/>
        <v>1560</v>
      </c>
    </row>
    <row r="9" spans="1:13" x14ac:dyDescent="0.3">
      <c r="A9" s="3">
        <v>45633</v>
      </c>
      <c r="B9" s="18">
        <v>1300</v>
      </c>
      <c r="C9" s="18">
        <v>6270</v>
      </c>
      <c r="D9" s="18">
        <v>0</v>
      </c>
      <c r="E9" s="18">
        <v>6270</v>
      </c>
      <c r="F9" s="15">
        <f t="shared" si="0"/>
        <v>-1300</v>
      </c>
      <c r="G9" s="19">
        <f t="shared" si="0"/>
        <v>0</v>
      </c>
      <c r="H9" s="20">
        <v>707.49</v>
      </c>
      <c r="I9" s="21">
        <v>800</v>
      </c>
      <c r="J9" s="21">
        <v>0</v>
      </c>
      <c r="K9" s="32">
        <f t="shared" si="1"/>
        <v>7570</v>
      </c>
      <c r="L9" s="26">
        <f t="shared" si="2"/>
        <v>500</v>
      </c>
      <c r="M9" s="25">
        <f t="shared" si="3"/>
        <v>6270</v>
      </c>
    </row>
    <row r="10" spans="1:13" x14ac:dyDescent="0.3">
      <c r="A10" s="3">
        <v>45634</v>
      </c>
      <c r="B10" s="18">
        <v>950</v>
      </c>
      <c r="C10" s="18">
        <v>2325</v>
      </c>
      <c r="D10" s="18">
        <v>0</v>
      </c>
      <c r="E10" s="18">
        <v>2325</v>
      </c>
      <c r="F10" s="15">
        <f t="shared" si="0"/>
        <v>-950</v>
      </c>
      <c r="G10" s="19">
        <f t="shared" si="0"/>
        <v>0</v>
      </c>
      <c r="H10" s="20">
        <v>214.01</v>
      </c>
      <c r="I10" s="21">
        <v>0</v>
      </c>
      <c r="J10" s="21">
        <v>0</v>
      </c>
      <c r="K10" s="32">
        <f t="shared" si="1"/>
        <v>3275</v>
      </c>
      <c r="L10" s="26">
        <f t="shared" si="2"/>
        <v>950</v>
      </c>
      <c r="M10" s="25">
        <f t="shared" si="3"/>
        <v>2325</v>
      </c>
    </row>
    <row r="11" spans="1:13" x14ac:dyDescent="0.3">
      <c r="A11" s="3">
        <v>45635</v>
      </c>
      <c r="B11" s="18">
        <v>460</v>
      </c>
      <c r="C11" s="18">
        <v>1510</v>
      </c>
      <c r="D11" s="18">
        <v>0</v>
      </c>
      <c r="E11" s="18">
        <v>1510</v>
      </c>
      <c r="F11" s="15">
        <f t="shared" si="0"/>
        <v>-460</v>
      </c>
      <c r="G11" s="19">
        <f t="shared" si="0"/>
        <v>0</v>
      </c>
      <c r="H11" s="20">
        <v>181.21</v>
      </c>
      <c r="I11" s="21">
        <v>3150</v>
      </c>
      <c r="J11" s="21">
        <v>0</v>
      </c>
      <c r="K11" s="32">
        <f t="shared" si="1"/>
        <v>1970</v>
      </c>
      <c r="L11" s="26">
        <f t="shared" si="2"/>
        <v>-2690</v>
      </c>
      <c r="M11" s="25">
        <f t="shared" si="3"/>
        <v>1510</v>
      </c>
    </row>
    <row r="12" spans="1:13" x14ac:dyDescent="0.3">
      <c r="A12" s="3">
        <v>45636</v>
      </c>
      <c r="B12" s="18">
        <v>220</v>
      </c>
      <c r="C12" s="18">
        <v>860</v>
      </c>
      <c r="D12" s="18">
        <v>0</v>
      </c>
      <c r="E12" s="18">
        <v>860</v>
      </c>
      <c r="F12" s="15">
        <f t="shared" si="0"/>
        <v>-220</v>
      </c>
      <c r="G12" s="19">
        <f t="shared" si="0"/>
        <v>0</v>
      </c>
      <c r="H12" s="20">
        <v>143.32</v>
      </c>
      <c r="I12" s="21">
        <v>1000</v>
      </c>
      <c r="J12" s="21">
        <v>16500</v>
      </c>
      <c r="K12" s="32">
        <f t="shared" si="1"/>
        <v>1080</v>
      </c>
      <c r="L12" s="26">
        <f t="shared" si="2"/>
        <v>-780</v>
      </c>
      <c r="M12" s="25">
        <f t="shared" si="3"/>
        <v>-15640</v>
      </c>
    </row>
    <row r="13" spans="1:13" x14ac:dyDescent="0.3">
      <c r="A13" s="3">
        <v>45637</v>
      </c>
      <c r="B13" s="18">
        <v>1400</v>
      </c>
      <c r="C13" s="18">
        <v>1980</v>
      </c>
      <c r="D13" s="18">
        <v>0</v>
      </c>
      <c r="E13" s="18">
        <v>1980</v>
      </c>
      <c r="F13" s="15">
        <f t="shared" si="0"/>
        <v>-1400</v>
      </c>
      <c r="G13" s="19">
        <f t="shared" si="0"/>
        <v>0</v>
      </c>
      <c r="H13" s="20">
        <v>259.56</v>
      </c>
      <c r="I13" s="21">
        <v>200</v>
      </c>
      <c r="J13" s="21">
        <v>940</v>
      </c>
      <c r="K13" s="32">
        <f t="shared" si="1"/>
        <v>3380</v>
      </c>
      <c r="L13" s="26">
        <f t="shared" si="2"/>
        <v>1200</v>
      </c>
      <c r="M13" s="25">
        <f t="shared" si="3"/>
        <v>1040</v>
      </c>
    </row>
    <row r="14" spans="1:13" x14ac:dyDescent="0.3">
      <c r="A14" s="3">
        <v>45638</v>
      </c>
      <c r="B14" s="18">
        <v>1670</v>
      </c>
      <c r="C14" s="18">
        <v>1640</v>
      </c>
      <c r="D14" s="18">
        <v>0</v>
      </c>
      <c r="E14" s="18">
        <v>1640</v>
      </c>
      <c r="F14" s="15">
        <f t="shared" si="0"/>
        <v>-1670</v>
      </c>
      <c r="G14" s="19">
        <f t="shared" si="0"/>
        <v>0</v>
      </c>
      <c r="H14" s="20">
        <v>229.4</v>
      </c>
      <c r="I14" s="21">
        <v>150</v>
      </c>
      <c r="J14" s="21">
        <v>300</v>
      </c>
      <c r="K14" s="32">
        <f t="shared" si="1"/>
        <v>3310</v>
      </c>
      <c r="L14" s="26">
        <f t="shared" si="2"/>
        <v>1520</v>
      </c>
      <c r="M14" s="25">
        <f t="shared" si="3"/>
        <v>1340</v>
      </c>
    </row>
    <row r="15" spans="1:13" x14ac:dyDescent="0.3">
      <c r="A15" s="3">
        <v>45639</v>
      </c>
      <c r="B15" s="18">
        <v>700</v>
      </c>
      <c r="C15" s="18">
        <v>3780</v>
      </c>
      <c r="D15" s="18">
        <v>0</v>
      </c>
      <c r="E15" s="18">
        <v>3780</v>
      </c>
      <c r="F15" s="15">
        <f t="shared" si="0"/>
        <v>-700</v>
      </c>
      <c r="G15" s="19">
        <f t="shared" si="0"/>
        <v>0</v>
      </c>
      <c r="H15" s="20">
        <v>379.24</v>
      </c>
      <c r="I15" s="21">
        <v>655</v>
      </c>
      <c r="J15" s="21">
        <v>3000</v>
      </c>
      <c r="K15" s="32">
        <f t="shared" si="1"/>
        <v>4480</v>
      </c>
      <c r="L15" s="26">
        <f t="shared" si="2"/>
        <v>45</v>
      </c>
      <c r="M15" s="25">
        <f t="shared" si="3"/>
        <v>780</v>
      </c>
    </row>
    <row r="16" spans="1:13" x14ac:dyDescent="0.3">
      <c r="A16" s="3">
        <v>45640</v>
      </c>
      <c r="B16" s="18">
        <v>1000</v>
      </c>
      <c r="C16" s="18">
        <v>1575</v>
      </c>
      <c r="D16" s="18">
        <v>0</v>
      </c>
      <c r="E16" s="18">
        <v>1575</v>
      </c>
      <c r="F16" s="15">
        <f t="shared" si="0"/>
        <v>-1000</v>
      </c>
      <c r="G16" s="19">
        <f t="shared" si="0"/>
        <v>0</v>
      </c>
      <c r="H16" s="20">
        <v>201.89</v>
      </c>
      <c r="I16" s="21">
        <v>615</v>
      </c>
      <c r="J16" s="21">
        <v>0</v>
      </c>
      <c r="K16" s="32">
        <f t="shared" si="1"/>
        <v>2575</v>
      </c>
      <c r="L16" s="26">
        <f t="shared" si="2"/>
        <v>385</v>
      </c>
      <c r="M16" s="25">
        <f t="shared" si="3"/>
        <v>1575</v>
      </c>
    </row>
    <row r="17" spans="1:13" x14ac:dyDescent="0.3">
      <c r="A17" s="3">
        <v>45641</v>
      </c>
      <c r="B17" s="18">
        <v>110</v>
      </c>
      <c r="C17" s="18">
        <v>2010</v>
      </c>
      <c r="D17" s="18">
        <v>0</v>
      </c>
      <c r="E17" s="18">
        <v>2010</v>
      </c>
      <c r="F17" s="15">
        <f t="shared" si="0"/>
        <v>-110</v>
      </c>
      <c r="G17" s="19">
        <f t="shared" si="0"/>
        <v>0</v>
      </c>
      <c r="H17" s="20">
        <v>256.98</v>
      </c>
      <c r="I17" s="21">
        <v>505</v>
      </c>
      <c r="J17" s="21">
        <v>0</v>
      </c>
      <c r="K17" s="32">
        <f t="shared" si="1"/>
        <v>2120</v>
      </c>
      <c r="L17" s="26">
        <f t="shared" si="2"/>
        <v>-395</v>
      </c>
      <c r="M17" s="25">
        <f t="shared" si="3"/>
        <v>2010</v>
      </c>
    </row>
    <row r="18" spans="1:13" x14ac:dyDescent="0.3">
      <c r="A18" s="3">
        <v>45642</v>
      </c>
      <c r="B18" s="18">
        <v>940</v>
      </c>
      <c r="C18" s="18">
        <v>2620</v>
      </c>
      <c r="D18" s="18">
        <v>0</v>
      </c>
      <c r="E18" s="18">
        <v>2620</v>
      </c>
      <c r="F18" s="15">
        <f t="shared" si="0"/>
        <v>-940</v>
      </c>
      <c r="G18" s="19">
        <f t="shared" si="0"/>
        <v>0</v>
      </c>
      <c r="H18" s="20">
        <v>334.39</v>
      </c>
      <c r="I18" s="21">
        <v>450</v>
      </c>
      <c r="J18" s="21">
        <v>4140</v>
      </c>
      <c r="K18" s="32">
        <f t="shared" si="1"/>
        <v>3560</v>
      </c>
      <c r="L18" s="26">
        <f t="shared" si="2"/>
        <v>490</v>
      </c>
      <c r="M18" s="25">
        <f t="shared" si="3"/>
        <v>-1520</v>
      </c>
    </row>
    <row r="19" spans="1:13" x14ac:dyDescent="0.3">
      <c r="A19" s="3">
        <v>45643</v>
      </c>
      <c r="B19" s="18">
        <v>0</v>
      </c>
      <c r="C19" s="18">
        <v>3260</v>
      </c>
      <c r="D19" s="18">
        <v>0</v>
      </c>
      <c r="E19" s="18">
        <v>3260</v>
      </c>
      <c r="F19" s="15">
        <f t="shared" si="0"/>
        <v>0</v>
      </c>
      <c r="G19" s="19">
        <f t="shared" si="0"/>
        <v>0</v>
      </c>
      <c r="H19" s="20">
        <v>100</v>
      </c>
      <c r="I19" s="21">
        <v>650</v>
      </c>
      <c r="J19" s="21">
        <v>0</v>
      </c>
      <c r="K19" s="32">
        <f t="shared" si="1"/>
        <v>3260</v>
      </c>
      <c r="L19" s="26">
        <f t="shared" si="2"/>
        <v>-650</v>
      </c>
      <c r="M19" s="25">
        <f t="shared" si="3"/>
        <v>3260</v>
      </c>
    </row>
    <row r="20" spans="1:13" x14ac:dyDescent="0.3">
      <c r="A20" s="3">
        <v>45644</v>
      </c>
      <c r="B20" s="18">
        <v>1500</v>
      </c>
      <c r="C20" s="18">
        <v>3450</v>
      </c>
      <c r="D20" s="18">
        <v>0</v>
      </c>
      <c r="E20" s="18">
        <v>3450</v>
      </c>
      <c r="F20" s="15">
        <f t="shared" si="0"/>
        <v>-1500</v>
      </c>
      <c r="G20" s="19">
        <f t="shared" si="0"/>
        <v>0</v>
      </c>
      <c r="H20" s="20">
        <v>499.99</v>
      </c>
      <c r="I20" s="21">
        <v>925</v>
      </c>
      <c r="J20" s="21">
        <v>630</v>
      </c>
      <c r="K20" s="32">
        <f t="shared" si="1"/>
        <v>4950</v>
      </c>
      <c r="L20" s="26">
        <f t="shared" si="2"/>
        <v>575</v>
      </c>
      <c r="M20" s="25">
        <f t="shared" si="3"/>
        <v>2820</v>
      </c>
    </row>
    <row r="21" spans="1:13" x14ac:dyDescent="0.3">
      <c r="A21" s="3">
        <v>45645</v>
      </c>
      <c r="B21" s="18">
        <v>750</v>
      </c>
      <c r="C21" s="18">
        <v>3520</v>
      </c>
      <c r="D21" s="18">
        <v>0</v>
      </c>
      <c r="E21" s="18">
        <v>3520</v>
      </c>
      <c r="F21" s="15">
        <f t="shared" si="0"/>
        <v>-750</v>
      </c>
      <c r="G21" s="19">
        <f t="shared" si="0"/>
        <v>0</v>
      </c>
      <c r="H21" s="20">
        <v>399.56</v>
      </c>
      <c r="I21" s="21">
        <v>850</v>
      </c>
      <c r="J21" s="21">
        <v>11440</v>
      </c>
      <c r="K21" s="32">
        <f t="shared" si="1"/>
        <v>4270</v>
      </c>
      <c r="L21" s="26">
        <f t="shared" si="2"/>
        <v>-100</v>
      </c>
      <c r="M21" s="25">
        <f t="shared" si="3"/>
        <v>-7920</v>
      </c>
    </row>
    <row r="22" spans="1:13" x14ac:dyDescent="0.3">
      <c r="A22" s="3">
        <v>45646</v>
      </c>
      <c r="B22" s="18">
        <v>1150</v>
      </c>
      <c r="C22" s="18">
        <v>5230</v>
      </c>
      <c r="D22" s="18">
        <v>0</v>
      </c>
      <c r="E22" s="18">
        <v>5230</v>
      </c>
      <c r="F22" s="15">
        <f t="shared" si="0"/>
        <v>-1150</v>
      </c>
      <c r="G22" s="19">
        <f t="shared" si="0"/>
        <v>0</v>
      </c>
      <c r="H22" s="20">
        <v>592.89</v>
      </c>
      <c r="I22" s="21">
        <v>410</v>
      </c>
      <c r="J22" s="21">
        <v>1280</v>
      </c>
      <c r="K22" s="32">
        <f t="shared" si="1"/>
        <v>6380</v>
      </c>
      <c r="L22" s="26">
        <f t="shared" si="2"/>
        <v>740</v>
      </c>
      <c r="M22" s="25">
        <f t="shared" si="3"/>
        <v>3950</v>
      </c>
    </row>
    <row r="23" spans="1:13" x14ac:dyDescent="0.3">
      <c r="A23" s="3">
        <v>45647</v>
      </c>
      <c r="B23" s="18">
        <v>300</v>
      </c>
      <c r="C23" s="18">
        <v>4520</v>
      </c>
      <c r="D23" s="18">
        <v>0</v>
      </c>
      <c r="E23" s="18">
        <v>4520</v>
      </c>
      <c r="F23" s="15">
        <f t="shared" si="0"/>
        <v>-300</v>
      </c>
      <c r="G23" s="19">
        <f t="shared" si="0"/>
        <v>0</v>
      </c>
      <c r="H23" s="20">
        <v>620.76</v>
      </c>
      <c r="I23" s="21">
        <v>630</v>
      </c>
      <c r="J23" s="21">
        <v>0</v>
      </c>
      <c r="K23" s="32">
        <f t="shared" si="1"/>
        <v>4820</v>
      </c>
      <c r="L23" s="26">
        <f t="shared" si="2"/>
        <v>-330</v>
      </c>
      <c r="M23" s="25">
        <f t="shared" si="3"/>
        <v>4520</v>
      </c>
    </row>
    <row r="24" spans="1:13" x14ac:dyDescent="0.3">
      <c r="A24" s="3">
        <v>45648</v>
      </c>
      <c r="B24" s="18">
        <v>1600</v>
      </c>
      <c r="C24" s="18">
        <v>4630</v>
      </c>
      <c r="D24" s="18">
        <v>0</v>
      </c>
      <c r="E24" s="18">
        <v>4630</v>
      </c>
      <c r="F24" s="15">
        <f t="shared" si="0"/>
        <v>-1600</v>
      </c>
      <c r="G24" s="19">
        <f t="shared" si="0"/>
        <v>0</v>
      </c>
      <c r="H24" s="20">
        <v>686.07</v>
      </c>
      <c r="I24" s="21">
        <v>0</v>
      </c>
      <c r="J24" s="21">
        <v>0</v>
      </c>
      <c r="K24" s="32">
        <f t="shared" si="1"/>
        <v>6230</v>
      </c>
      <c r="L24" s="26">
        <f t="shared" si="2"/>
        <v>1600</v>
      </c>
      <c r="M24" s="25">
        <f t="shared" si="3"/>
        <v>4630</v>
      </c>
    </row>
    <row r="25" spans="1:13" x14ac:dyDescent="0.3">
      <c r="A25" s="3">
        <v>45649</v>
      </c>
      <c r="B25" s="18">
        <v>0</v>
      </c>
      <c r="C25" s="18">
        <v>740</v>
      </c>
      <c r="D25" s="18">
        <v>0</v>
      </c>
      <c r="E25" s="18">
        <v>740</v>
      </c>
      <c r="F25" s="15">
        <f t="shared" si="0"/>
        <v>0</v>
      </c>
      <c r="G25" s="19">
        <f t="shared" si="0"/>
        <v>0</v>
      </c>
      <c r="H25" s="20">
        <v>123.34</v>
      </c>
      <c r="I25" s="21">
        <v>900</v>
      </c>
      <c r="J25" s="21">
        <v>9845</v>
      </c>
      <c r="K25" s="32">
        <f t="shared" si="1"/>
        <v>740</v>
      </c>
      <c r="L25" s="26">
        <f t="shared" si="2"/>
        <v>-900</v>
      </c>
      <c r="M25" s="25">
        <f t="shared" si="3"/>
        <v>-9105</v>
      </c>
    </row>
    <row r="26" spans="1:13" x14ac:dyDescent="0.3">
      <c r="A26" s="3">
        <v>45650</v>
      </c>
      <c r="B26" s="18">
        <v>0</v>
      </c>
      <c r="C26" s="18">
        <v>540</v>
      </c>
      <c r="D26" s="18">
        <v>0</v>
      </c>
      <c r="E26" s="18">
        <v>540</v>
      </c>
      <c r="F26" s="15">
        <f t="shared" si="0"/>
        <v>0</v>
      </c>
      <c r="G26" s="19">
        <f t="shared" si="0"/>
        <v>0</v>
      </c>
      <c r="H26" s="20">
        <v>74.849999999999994</v>
      </c>
      <c r="I26" s="21">
        <v>3225</v>
      </c>
      <c r="J26" s="21">
        <v>6560</v>
      </c>
      <c r="K26" s="32">
        <f t="shared" si="1"/>
        <v>540</v>
      </c>
      <c r="L26" s="26">
        <f t="shared" si="2"/>
        <v>-3225</v>
      </c>
      <c r="M26" s="25">
        <f t="shared" si="3"/>
        <v>-6020</v>
      </c>
    </row>
    <row r="27" spans="1:13" x14ac:dyDescent="0.3">
      <c r="A27" s="3">
        <v>45651</v>
      </c>
      <c r="B27" s="18">
        <v>1350</v>
      </c>
      <c r="C27" s="18">
        <v>8915</v>
      </c>
      <c r="D27" s="18">
        <v>0</v>
      </c>
      <c r="E27" s="18">
        <v>8915</v>
      </c>
      <c r="F27" s="15">
        <f t="shared" si="0"/>
        <v>-1350</v>
      </c>
      <c r="G27" s="19">
        <f t="shared" si="0"/>
        <v>0</v>
      </c>
      <c r="H27" s="20">
        <v>655</v>
      </c>
      <c r="I27" s="21">
        <v>300</v>
      </c>
      <c r="J27" s="21">
        <v>0</v>
      </c>
      <c r="K27" s="32">
        <f t="shared" si="1"/>
        <v>10265</v>
      </c>
      <c r="L27" s="26">
        <f t="shared" si="2"/>
        <v>1050</v>
      </c>
      <c r="M27" s="25">
        <f t="shared" si="3"/>
        <v>8915</v>
      </c>
    </row>
    <row r="28" spans="1:13" x14ac:dyDescent="0.3">
      <c r="A28" s="3">
        <v>45652</v>
      </c>
      <c r="B28" s="18">
        <v>650</v>
      </c>
      <c r="C28" s="18">
        <v>7030</v>
      </c>
      <c r="D28" s="18">
        <v>0</v>
      </c>
      <c r="E28" s="18">
        <v>7030</v>
      </c>
      <c r="F28" s="15">
        <f t="shared" si="0"/>
        <v>-650</v>
      </c>
      <c r="G28" s="19">
        <f t="shared" si="0"/>
        <v>0</v>
      </c>
      <c r="H28" s="20">
        <v>796.67</v>
      </c>
      <c r="I28" s="21">
        <v>1160</v>
      </c>
      <c r="J28" s="21">
        <v>0</v>
      </c>
      <c r="K28" s="32">
        <f t="shared" si="1"/>
        <v>7680</v>
      </c>
      <c r="L28" s="26">
        <f t="shared" si="2"/>
        <v>-510</v>
      </c>
      <c r="M28" s="25">
        <f t="shared" si="3"/>
        <v>7030</v>
      </c>
    </row>
    <row r="29" spans="1:13" x14ac:dyDescent="0.3">
      <c r="A29" s="3">
        <v>45653</v>
      </c>
      <c r="B29" s="18">
        <v>1320</v>
      </c>
      <c r="C29" s="18">
        <v>2585</v>
      </c>
      <c r="D29" s="18">
        <v>0</v>
      </c>
      <c r="E29" s="18">
        <v>2585</v>
      </c>
      <c r="F29" s="15">
        <f t="shared" si="0"/>
        <v>-1320</v>
      </c>
      <c r="G29" s="19">
        <f t="shared" si="0"/>
        <v>0</v>
      </c>
      <c r="H29" s="20">
        <v>294.45999999999998</v>
      </c>
      <c r="I29" s="21">
        <v>150</v>
      </c>
      <c r="J29" s="21">
        <v>14380</v>
      </c>
      <c r="K29" s="32">
        <f t="shared" si="1"/>
        <v>3905</v>
      </c>
      <c r="L29" s="26">
        <f t="shared" si="2"/>
        <v>1170</v>
      </c>
      <c r="M29" s="25">
        <f t="shared" si="3"/>
        <v>-11795</v>
      </c>
    </row>
    <row r="30" spans="1:13" x14ac:dyDescent="0.3">
      <c r="A30" s="3">
        <v>45654</v>
      </c>
      <c r="B30" s="18">
        <v>40</v>
      </c>
      <c r="C30" s="18">
        <v>2755</v>
      </c>
      <c r="D30" s="18">
        <v>0</v>
      </c>
      <c r="E30" s="18">
        <v>2755</v>
      </c>
      <c r="F30" s="15">
        <f t="shared" si="0"/>
        <v>-40</v>
      </c>
      <c r="G30" s="19">
        <f t="shared" si="0"/>
        <v>0</v>
      </c>
      <c r="H30" s="20">
        <v>360.69</v>
      </c>
      <c r="I30" s="21">
        <v>515</v>
      </c>
      <c r="J30" s="21">
        <v>955</v>
      </c>
      <c r="K30" s="32">
        <f t="shared" si="1"/>
        <v>2795</v>
      </c>
      <c r="L30" s="26">
        <f t="shared" si="2"/>
        <v>-475</v>
      </c>
      <c r="M30" s="25">
        <f t="shared" si="3"/>
        <v>1800</v>
      </c>
    </row>
    <row r="31" spans="1:13" x14ac:dyDescent="0.3">
      <c r="A31" s="3">
        <v>45655</v>
      </c>
      <c r="B31" s="18">
        <v>1400</v>
      </c>
      <c r="C31" s="18">
        <v>4520</v>
      </c>
      <c r="D31" s="18">
        <v>0</v>
      </c>
      <c r="E31" s="18">
        <v>4370</v>
      </c>
      <c r="F31" s="15">
        <f t="shared" si="0"/>
        <v>-1400</v>
      </c>
      <c r="G31" s="19">
        <f t="shared" si="0"/>
        <v>-150</v>
      </c>
      <c r="H31" s="20">
        <v>550.30999999999995</v>
      </c>
      <c r="I31" s="21">
        <v>300</v>
      </c>
      <c r="J31" s="21">
        <v>0</v>
      </c>
      <c r="K31" s="32">
        <f t="shared" si="1"/>
        <v>5920</v>
      </c>
      <c r="L31" s="26">
        <f t="shared" si="2"/>
        <v>1100</v>
      </c>
      <c r="M31" s="25">
        <f t="shared" si="3"/>
        <v>4370</v>
      </c>
    </row>
    <row r="32" spans="1:13" x14ac:dyDescent="0.3">
      <c r="A32" s="3">
        <v>45656</v>
      </c>
      <c r="B32" s="18">
        <v>2460</v>
      </c>
      <c r="C32" s="18">
        <v>5055</v>
      </c>
      <c r="D32" s="18">
        <v>0</v>
      </c>
      <c r="E32" s="18">
        <v>5055</v>
      </c>
      <c r="F32" s="15">
        <f t="shared" si="0"/>
        <v>-2460</v>
      </c>
      <c r="G32" s="19">
        <f t="shared" si="0"/>
        <v>0</v>
      </c>
      <c r="H32" s="20">
        <v>759.93</v>
      </c>
      <c r="I32" s="21">
        <v>185</v>
      </c>
      <c r="J32" s="21">
        <v>0</v>
      </c>
      <c r="K32" s="32">
        <f t="shared" si="1"/>
        <v>7515</v>
      </c>
      <c r="L32" s="26">
        <f t="shared" si="2"/>
        <v>2275</v>
      </c>
      <c r="M32" s="25">
        <f t="shared" si="3"/>
        <v>5055</v>
      </c>
    </row>
    <row r="33" spans="1:14" x14ac:dyDescent="0.3">
      <c r="A33" s="3">
        <v>45657</v>
      </c>
      <c r="B33" s="18">
        <v>1900</v>
      </c>
      <c r="C33" s="18">
        <v>8645</v>
      </c>
      <c r="D33" s="18">
        <v>0</v>
      </c>
      <c r="E33" s="18">
        <v>8645</v>
      </c>
      <c r="F33" s="15">
        <f t="shared" si="0"/>
        <v>-1900</v>
      </c>
      <c r="G33" s="19">
        <f t="shared" si="0"/>
        <v>0</v>
      </c>
      <c r="H33" s="20">
        <v>1512.52</v>
      </c>
      <c r="I33" s="21">
        <v>4300</v>
      </c>
      <c r="J33" s="33">
        <v>12570</v>
      </c>
      <c r="K33" s="32">
        <f t="shared" si="1"/>
        <v>10545</v>
      </c>
      <c r="L33" s="26">
        <f t="shared" si="2"/>
        <v>-2400</v>
      </c>
      <c r="M33" s="25">
        <f t="shared" si="3"/>
        <v>-3925</v>
      </c>
    </row>
    <row r="34" spans="1:14" s="8" customFormat="1" ht="27.6" customHeight="1" x14ac:dyDescent="0.35">
      <c r="A34" s="7" t="s">
        <v>4</v>
      </c>
      <c r="B34" s="22">
        <f>SUM(B3:B33)</f>
        <v>26890</v>
      </c>
      <c r="C34" s="22">
        <f>SUM(C3:C33)</f>
        <v>99545</v>
      </c>
      <c r="D34" s="22"/>
      <c r="E34" s="22">
        <f t="shared" ref="E34:M34" si="4">SUM(E3:E33)</f>
        <v>99395</v>
      </c>
      <c r="F34" s="15">
        <f t="shared" si="4"/>
        <v>-26890</v>
      </c>
      <c r="G34" s="23">
        <f t="shared" si="4"/>
        <v>-150</v>
      </c>
      <c r="H34" s="24">
        <f t="shared" si="4"/>
        <v>12078.76</v>
      </c>
      <c r="I34" s="24">
        <f t="shared" si="4"/>
        <v>24265</v>
      </c>
      <c r="J34" s="24">
        <f t="shared" si="4"/>
        <v>89965</v>
      </c>
      <c r="K34" s="32">
        <f t="shared" si="4"/>
        <v>126435</v>
      </c>
      <c r="L34" s="27">
        <f t="shared" si="4"/>
        <v>2625</v>
      </c>
      <c r="M34" s="27">
        <f t="shared" si="4"/>
        <v>9430</v>
      </c>
      <c r="N34" s="13"/>
    </row>
    <row r="37" spans="1:14" ht="18" x14ac:dyDescent="0.3">
      <c r="G37" s="51" t="s">
        <v>14</v>
      </c>
      <c r="H37" s="51"/>
      <c r="I37" s="12">
        <f>SUM(K3:K33)</f>
        <v>126435</v>
      </c>
    </row>
    <row r="38" spans="1:14" ht="18" x14ac:dyDescent="0.3">
      <c r="G38" s="51" t="s">
        <v>16</v>
      </c>
      <c r="H38" s="51"/>
      <c r="I38" s="12">
        <f>SUM(+I34+J34)</f>
        <v>114230</v>
      </c>
    </row>
    <row r="39" spans="1:14" ht="18" x14ac:dyDescent="0.3">
      <c r="G39" s="51" t="s">
        <v>15</v>
      </c>
      <c r="H39" s="51"/>
      <c r="I39" s="12">
        <f>SUM(L34+M34)</f>
        <v>12055</v>
      </c>
    </row>
  </sheetData>
  <mergeCells count="3">
    <mergeCell ref="G37:H37"/>
    <mergeCell ref="G38:H38"/>
    <mergeCell ref="G39:H3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39"/>
  <sheetViews>
    <sheetView topLeftCell="B14" workbookViewId="0">
      <selection activeCell="K30" sqref="K30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3" ht="16.2" hidden="1" thickBot="1" x14ac:dyDescent="0.35"/>
    <row r="2" spans="1:13" ht="54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3" x14ac:dyDescent="0.3">
      <c r="A3" s="3">
        <v>45597</v>
      </c>
      <c r="B3" s="14">
        <v>550</v>
      </c>
      <c r="C3" s="14">
        <v>1530</v>
      </c>
      <c r="D3" s="14">
        <v>0</v>
      </c>
      <c r="E3" s="14">
        <v>1530</v>
      </c>
      <c r="F3" s="15">
        <f>SUM(D3-B3)</f>
        <v>-550</v>
      </c>
      <c r="G3" s="15">
        <f>SUM(E3-C3)</f>
        <v>0</v>
      </c>
      <c r="H3" s="16">
        <v>255</v>
      </c>
      <c r="I3" s="17">
        <v>250</v>
      </c>
      <c r="J3" s="17">
        <v>0</v>
      </c>
      <c r="K3" s="31">
        <f>SUM(B3:C3)</f>
        <v>2080</v>
      </c>
      <c r="L3" s="25">
        <f>SUM(B3-I3)</f>
        <v>300</v>
      </c>
      <c r="M3" s="25">
        <f>SUM(E3-J3)</f>
        <v>1530</v>
      </c>
    </row>
    <row r="4" spans="1:13" x14ac:dyDescent="0.3">
      <c r="A4" s="3">
        <v>45598</v>
      </c>
      <c r="B4" s="18">
        <v>1300</v>
      </c>
      <c r="C4" s="18">
        <v>4150</v>
      </c>
      <c r="D4" s="18">
        <v>0</v>
      </c>
      <c r="E4" s="18">
        <v>4150</v>
      </c>
      <c r="F4" s="15">
        <f t="shared" ref="F4:F32" si="0">SUM(D4-B4)</f>
        <v>-1300</v>
      </c>
      <c r="G4" s="19">
        <f t="shared" ref="G4:G32" si="1">SUM(E4-C4)</f>
        <v>0</v>
      </c>
      <c r="H4" s="20">
        <v>691.67</v>
      </c>
      <c r="I4" s="21">
        <v>520</v>
      </c>
      <c r="J4" s="21">
        <v>0</v>
      </c>
      <c r="K4" s="32">
        <f t="shared" ref="K4:K32" si="2">SUM(B4:C4)</f>
        <v>5450</v>
      </c>
      <c r="L4" s="26">
        <f t="shared" ref="L4:L32" si="3">SUM(B4-I4)</f>
        <v>780</v>
      </c>
      <c r="M4" s="25">
        <f t="shared" ref="M4:M32" si="4">SUM(E4-J4)</f>
        <v>4150</v>
      </c>
    </row>
    <row r="5" spans="1:13" x14ac:dyDescent="0.3">
      <c r="A5" s="3">
        <v>45599</v>
      </c>
      <c r="B5" s="18">
        <v>1300</v>
      </c>
      <c r="C5" s="18">
        <v>4645</v>
      </c>
      <c r="D5" s="18">
        <v>0</v>
      </c>
      <c r="E5" s="18">
        <v>4645</v>
      </c>
      <c r="F5" s="15">
        <f t="shared" si="0"/>
        <v>-1300</v>
      </c>
      <c r="G5" s="19">
        <f t="shared" si="1"/>
        <v>0</v>
      </c>
      <c r="H5" s="20">
        <v>635.83000000000004</v>
      </c>
      <c r="I5" s="21">
        <v>1350</v>
      </c>
      <c r="J5" s="21">
        <v>0</v>
      </c>
      <c r="K5" s="32">
        <f t="shared" si="2"/>
        <v>5945</v>
      </c>
      <c r="L5" s="26">
        <f t="shared" si="3"/>
        <v>-50</v>
      </c>
      <c r="M5" s="25">
        <f t="shared" si="4"/>
        <v>4645</v>
      </c>
    </row>
    <row r="6" spans="1:13" x14ac:dyDescent="0.3">
      <c r="A6" s="3">
        <v>45600</v>
      </c>
      <c r="B6" s="18">
        <v>120</v>
      </c>
      <c r="C6" s="18">
        <v>550</v>
      </c>
      <c r="D6" s="18">
        <v>0</v>
      </c>
      <c r="E6" s="18">
        <v>550</v>
      </c>
      <c r="F6" s="15">
        <f t="shared" si="0"/>
        <v>-120</v>
      </c>
      <c r="G6" s="19">
        <f t="shared" si="1"/>
        <v>0</v>
      </c>
      <c r="H6" s="20">
        <v>91.67</v>
      </c>
      <c r="I6" s="21">
        <v>3200</v>
      </c>
      <c r="J6" s="21">
        <v>16665</v>
      </c>
      <c r="K6" s="32">
        <f t="shared" si="2"/>
        <v>670</v>
      </c>
      <c r="L6" s="26">
        <f t="shared" si="3"/>
        <v>-3080</v>
      </c>
      <c r="M6" s="25">
        <f t="shared" si="4"/>
        <v>-16115</v>
      </c>
    </row>
    <row r="7" spans="1:13" x14ac:dyDescent="0.3">
      <c r="A7" s="3">
        <v>45601</v>
      </c>
      <c r="B7" s="18">
        <v>1830</v>
      </c>
      <c r="C7" s="18">
        <v>1680</v>
      </c>
      <c r="D7" s="18">
        <v>0</v>
      </c>
      <c r="E7" s="18">
        <v>1680</v>
      </c>
      <c r="F7" s="15">
        <f t="shared" si="0"/>
        <v>-1830</v>
      </c>
      <c r="G7" s="19">
        <f t="shared" si="1"/>
        <v>0</v>
      </c>
      <c r="H7" s="20">
        <v>280</v>
      </c>
      <c r="I7" s="21">
        <v>350</v>
      </c>
      <c r="J7" s="21">
        <v>0</v>
      </c>
      <c r="K7" s="32">
        <f t="shared" si="2"/>
        <v>3510</v>
      </c>
      <c r="L7" s="26">
        <f t="shared" si="3"/>
        <v>1480</v>
      </c>
      <c r="M7" s="25">
        <f t="shared" si="4"/>
        <v>1680</v>
      </c>
    </row>
    <row r="8" spans="1:13" x14ac:dyDescent="0.3">
      <c r="A8" s="3">
        <v>45602</v>
      </c>
      <c r="B8" s="18">
        <v>200</v>
      </c>
      <c r="C8" s="18">
        <v>3800</v>
      </c>
      <c r="D8" s="18">
        <v>0</v>
      </c>
      <c r="E8" s="18">
        <v>3800</v>
      </c>
      <c r="F8" s="15">
        <f t="shared" si="0"/>
        <v>-200</v>
      </c>
      <c r="G8" s="19">
        <v>0</v>
      </c>
      <c r="H8" s="20">
        <v>633.34</v>
      </c>
      <c r="I8" s="21">
        <v>515</v>
      </c>
      <c r="J8" s="21">
        <v>0</v>
      </c>
      <c r="K8" s="32">
        <f t="shared" si="2"/>
        <v>4000</v>
      </c>
      <c r="L8" s="26">
        <f t="shared" si="3"/>
        <v>-315</v>
      </c>
      <c r="M8" s="25">
        <f t="shared" si="4"/>
        <v>3800</v>
      </c>
    </row>
    <row r="9" spans="1:13" x14ac:dyDescent="0.3">
      <c r="A9" s="3">
        <v>45603</v>
      </c>
      <c r="B9" s="18">
        <v>750</v>
      </c>
      <c r="C9" s="18">
        <v>3320</v>
      </c>
      <c r="D9" s="18">
        <v>0</v>
      </c>
      <c r="E9" s="18">
        <v>3320</v>
      </c>
      <c r="F9" s="15">
        <f t="shared" si="0"/>
        <v>-750</v>
      </c>
      <c r="G9" s="19">
        <f t="shared" si="1"/>
        <v>0</v>
      </c>
      <c r="H9" s="20">
        <v>436.67</v>
      </c>
      <c r="I9" s="21">
        <v>250</v>
      </c>
      <c r="J9" s="21">
        <v>0</v>
      </c>
      <c r="K9" s="32">
        <f t="shared" si="2"/>
        <v>4070</v>
      </c>
      <c r="L9" s="26">
        <f t="shared" si="3"/>
        <v>500</v>
      </c>
      <c r="M9" s="25">
        <f t="shared" si="4"/>
        <v>3320</v>
      </c>
    </row>
    <row r="10" spans="1:13" x14ac:dyDescent="0.3">
      <c r="A10" s="3">
        <v>45604</v>
      </c>
      <c r="B10" s="18">
        <v>700</v>
      </c>
      <c r="C10" s="18">
        <v>1230</v>
      </c>
      <c r="D10" s="18">
        <v>0</v>
      </c>
      <c r="E10" s="18">
        <v>1230</v>
      </c>
      <c r="F10" s="15">
        <f t="shared" si="0"/>
        <v>-700</v>
      </c>
      <c r="G10" s="19">
        <f t="shared" si="1"/>
        <v>0</v>
      </c>
      <c r="H10" s="20">
        <v>186.82</v>
      </c>
      <c r="I10" s="21">
        <v>625</v>
      </c>
      <c r="J10" s="21">
        <v>3900</v>
      </c>
      <c r="K10" s="32">
        <f t="shared" si="2"/>
        <v>1930</v>
      </c>
      <c r="L10" s="26">
        <f t="shared" si="3"/>
        <v>75</v>
      </c>
      <c r="M10" s="25">
        <f t="shared" si="4"/>
        <v>-2670</v>
      </c>
    </row>
    <row r="11" spans="1:13" x14ac:dyDescent="0.3">
      <c r="A11" s="3">
        <v>45605</v>
      </c>
      <c r="B11" s="18">
        <v>1200</v>
      </c>
      <c r="C11" s="18">
        <v>2630</v>
      </c>
      <c r="D11" s="18">
        <v>0</v>
      </c>
      <c r="E11" s="18">
        <v>2630</v>
      </c>
      <c r="F11" s="15">
        <f t="shared" si="0"/>
        <v>-1200</v>
      </c>
      <c r="G11" s="19">
        <f t="shared" si="1"/>
        <v>0</v>
      </c>
      <c r="H11" s="20">
        <v>400.45</v>
      </c>
      <c r="I11" s="21">
        <v>0</v>
      </c>
      <c r="J11" s="21">
        <v>0</v>
      </c>
      <c r="K11" s="32">
        <f t="shared" si="2"/>
        <v>3830</v>
      </c>
      <c r="L11" s="26">
        <f t="shared" si="3"/>
        <v>1200</v>
      </c>
      <c r="M11" s="25">
        <f t="shared" si="4"/>
        <v>2630</v>
      </c>
    </row>
    <row r="12" spans="1:13" x14ac:dyDescent="0.3">
      <c r="A12" s="3">
        <v>45606</v>
      </c>
      <c r="B12" s="18">
        <v>650</v>
      </c>
      <c r="C12" s="18">
        <v>2640</v>
      </c>
      <c r="D12" s="18">
        <v>0</v>
      </c>
      <c r="E12" s="18">
        <v>2640</v>
      </c>
      <c r="F12" s="15">
        <f t="shared" si="0"/>
        <v>-650</v>
      </c>
      <c r="G12" s="19">
        <f t="shared" si="1"/>
        <v>0</v>
      </c>
      <c r="H12" s="20">
        <v>413.49</v>
      </c>
      <c r="I12" s="21">
        <v>200</v>
      </c>
      <c r="J12" s="21">
        <v>0</v>
      </c>
      <c r="K12" s="32">
        <f t="shared" si="2"/>
        <v>3290</v>
      </c>
      <c r="L12" s="26">
        <f t="shared" si="3"/>
        <v>450</v>
      </c>
      <c r="M12" s="25">
        <f t="shared" si="4"/>
        <v>2640</v>
      </c>
    </row>
    <row r="13" spans="1:13" x14ac:dyDescent="0.3">
      <c r="A13" s="3">
        <v>45607</v>
      </c>
      <c r="B13" s="18">
        <v>100</v>
      </c>
      <c r="C13" s="18">
        <v>2170</v>
      </c>
      <c r="D13" s="18">
        <v>0</v>
      </c>
      <c r="E13" s="18">
        <v>2170</v>
      </c>
      <c r="F13" s="15">
        <f t="shared" si="0"/>
        <v>-100</v>
      </c>
      <c r="G13" s="19">
        <f t="shared" si="1"/>
        <v>0</v>
      </c>
      <c r="H13" s="20">
        <v>361.67</v>
      </c>
      <c r="I13" s="21">
        <v>3550</v>
      </c>
      <c r="J13" s="21">
        <v>12000</v>
      </c>
      <c r="K13" s="32">
        <f t="shared" si="2"/>
        <v>2270</v>
      </c>
      <c r="L13" s="26">
        <f t="shared" si="3"/>
        <v>-3450</v>
      </c>
      <c r="M13" s="25">
        <f t="shared" si="4"/>
        <v>-9830</v>
      </c>
    </row>
    <row r="14" spans="1:13" x14ac:dyDescent="0.3">
      <c r="A14" s="3">
        <v>45608</v>
      </c>
      <c r="B14" s="18">
        <v>100</v>
      </c>
      <c r="C14" s="18">
        <v>440</v>
      </c>
      <c r="D14" s="18">
        <v>0</v>
      </c>
      <c r="E14" s="18">
        <v>440</v>
      </c>
      <c r="F14" s="15">
        <f t="shared" si="0"/>
        <v>-100</v>
      </c>
      <c r="G14" s="19">
        <f t="shared" si="1"/>
        <v>0</v>
      </c>
      <c r="H14" s="20">
        <v>45.31</v>
      </c>
      <c r="I14" s="21">
        <v>0</v>
      </c>
      <c r="J14" s="21">
        <v>3000</v>
      </c>
      <c r="K14" s="32">
        <f t="shared" si="2"/>
        <v>540</v>
      </c>
      <c r="L14" s="26">
        <f t="shared" si="3"/>
        <v>100</v>
      </c>
      <c r="M14" s="25">
        <f t="shared" si="4"/>
        <v>-2560</v>
      </c>
    </row>
    <row r="15" spans="1:13" x14ac:dyDescent="0.3">
      <c r="A15" s="3">
        <v>45609</v>
      </c>
      <c r="B15" s="18">
        <v>270</v>
      </c>
      <c r="C15" s="18">
        <v>2450</v>
      </c>
      <c r="D15" s="18">
        <v>0</v>
      </c>
      <c r="E15" s="18">
        <v>2450</v>
      </c>
      <c r="F15" s="15">
        <f t="shared" si="0"/>
        <v>-270</v>
      </c>
      <c r="G15" s="19">
        <f t="shared" si="1"/>
        <v>0</v>
      </c>
      <c r="H15" s="20">
        <v>351.9</v>
      </c>
      <c r="I15" s="21">
        <v>160</v>
      </c>
      <c r="J15" s="21">
        <v>0</v>
      </c>
      <c r="K15" s="32">
        <f t="shared" si="2"/>
        <v>2720</v>
      </c>
      <c r="L15" s="26">
        <f t="shared" si="3"/>
        <v>110</v>
      </c>
      <c r="M15" s="25">
        <f t="shared" si="4"/>
        <v>2450</v>
      </c>
    </row>
    <row r="16" spans="1:13" x14ac:dyDescent="0.3">
      <c r="A16" s="3">
        <v>45610</v>
      </c>
      <c r="B16" s="18">
        <v>300</v>
      </c>
      <c r="C16" s="18">
        <v>725</v>
      </c>
      <c r="D16" s="18">
        <v>0</v>
      </c>
      <c r="E16" s="18">
        <v>725</v>
      </c>
      <c r="F16" s="15">
        <f t="shared" si="0"/>
        <v>-300</v>
      </c>
      <c r="G16" s="19">
        <f t="shared" si="1"/>
        <v>0</v>
      </c>
      <c r="H16" s="20">
        <v>120.84</v>
      </c>
      <c r="I16" s="21">
        <v>290</v>
      </c>
      <c r="J16" s="21">
        <v>2010</v>
      </c>
      <c r="K16" s="32">
        <f t="shared" si="2"/>
        <v>1025</v>
      </c>
      <c r="L16" s="26">
        <f t="shared" si="3"/>
        <v>10</v>
      </c>
      <c r="M16" s="25">
        <f t="shared" si="4"/>
        <v>-1285</v>
      </c>
    </row>
    <row r="17" spans="1:13" x14ac:dyDescent="0.3">
      <c r="A17" s="3">
        <v>45611</v>
      </c>
      <c r="B17" s="18">
        <v>800</v>
      </c>
      <c r="C17" s="18">
        <v>2480</v>
      </c>
      <c r="D17" s="18">
        <v>0</v>
      </c>
      <c r="E17" s="18">
        <v>2480</v>
      </c>
      <c r="F17" s="15">
        <f t="shared" si="0"/>
        <v>-800</v>
      </c>
      <c r="G17" s="19">
        <f t="shared" si="1"/>
        <v>0</v>
      </c>
      <c r="H17" s="20">
        <v>322.42</v>
      </c>
      <c r="I17" s="21">
        <v>150</v>
      </c>
      <c r="J17" s="21">
        <v>480</v>
      </c>
      <c r="K17" s="32">
        <f t="shared" si="2"/>
        <v>3280</v>
      </c>
      <c r="L17" s="26">
        <f t="shared" si="3"/>
        <v>650</v>
      </c>
      <c r="M17" s="25">
        <f t="shared" si="4"/>
        <v>2000</v>
      </c>
    </row>
    <row r="18" spans="1:13" x14ac:dyDescent="0.3">
      <c r="A18" s="3">
        <v>45612</v>
      </c>
      <c r="B18" s="18">
        <v>1000</v>
      </c>
      <c r="C18" s="18">
        <v>1295</v>
      </c>
      <c r="D18" s="18">
        <v>0</v>
      </c>
      <c r="E18" s="18">
        <v>1295</v>
      </c>
      <c r="F18" s="15">
        <f t="shared" si="0"/>
        <v>-1000</v>
      </c>
      <c r="G18" s="19">
        <f t="shared" si="1"/>
        <v>0</v>
      </c>
      <c r="H18" s="20">
        <v>178.33</v>
      </c>
      <c r="I18" s="21">
        <v>270</v>
      </c>
      <c r="J18" s="21">
        <v>0</v>
      </c>
      <c r="K18" s="32">
        <f t="shared" si="2"/>
        <v>2295</v>
      </c>
      <c r="L18" s="26">
        <f t="shared" si="3"/>
        <v>730</v>
      </c>
      <c r="M18" s="25">
        <f t="shared" si="4"/>
        <v>1295</v>
      </c>
    </row>
    <row r="19" spans="1:13" x14ac:dyDescent="0.3">
      <c r="A19" s="3">
        <v>45613</v>
      </c>
      <c r="B19" s="18">
        <v>1050</v>
      </c>
      <c r="C19" s="18">
        <v>2735</v>
      </c>
      <c r="D19" s="18">
        <v>0</v>
      </c>
      <c r="E19" s="18">
        <v>2735</v>
      </c>
      <c r="F19" s="15">
        <f t="shared" si="0"/>
        <v>-1050</v>
      </c>
      <c r="G19" s="19">
        <f t="shared" si="1"/>
        <v>0</v>
      </c>
      <c r="H19" s="20">
        <v>154.16999999999999</v>
      </c>
      <c r="I19" s="21">
        <v>740</v>
      </c>
      <c r="J19" s="21">
        <v>650</v>
      </c>
      <c r="K19" s="32">
        <f t="shared" si="2"/>
        <v>3785</v>
      </c>
      <c r="L19" s="26">
        <f t="shared" si="3"/>
        <v>310</v>
      </c>
      <c r="M19" s="25">
        <f t="shared" si="4"/>
        <v>2085</v>
      </c>
    </row>
    <row r="20" spans="1:13" x14ac:dyDescent="0.3">
      <c r="A20" s="3">
        <v>45614</v>
      </c>
      <c r="B20" s="18">
        <v>0</v>
      </c>
      <c r="C20" s="18">
        <v>1525</v>
      </c>
      <c r="D20" s="18">
        <v>0</v>
      </c>
      <c r="E20" s="18">
        <v>1525</v>
      </c>
      <c r="F20" s="15">
        <f t="shared" si="0"/>
        <v>0</v>
      </c>
      <c r="G20" s="19">
        <f t="shared" si="1"/>
        <v>0</v>
      </c>
      <c r="H20" s="20">
        <v>254.17</v>
      </c>
      <c r="I20" s="21">
        <v>100</v>
      </c>
      <c r="J20" s="21">
        <v>5100</v>
      </c>
      <c r="K20" s="32">
        <f t="shared" si="2"/>
        <v>1525</v>
      </c>
      <c r="L20" s="26">
        <f t="shared" si="3"/>
        <v>-100</v>
      </c>
      <c r="M20" s="25">
        <f t="shared" si="4"/>
        <v>-3575</v>
      </c>
    </row>
    <row r="21" spans="1:13" x14ac:dyDescent="0.3">
      <c r="A21" s="3">
        <v>45615</v>
      </c>
      <c r="B21" s="18">
        <v>1200</v>
      </c>
      <c r="C21" s="18">
        <v>1902</v>
      </c>
      <c r="D21" s="18">
        <v>0</v>
      </c>
      <c r="E21" s="18">
        <v>1902</v>
      </c>
      <c r="F21" s="15">
        <f t="shared" si="0"/>
        <v>-1200</v>
      </c>
      <c r="G21" s="19">
        <f t="shared" si="1"/>
        <v>0</v>
      </c>
      <c r="H21" s="20">
        <v>249.43</v>
      </c>
      <c r="I21" s="21">
        <v>850</v>
      </c>
      <c r="J21" s="21">
        <v>850</v>
      </c>
      <c r="K21" s="32">
        <f t="shared" si="2"/>
        <v>3102</v>
      </c>
      <c r="L21" s="26">
        <f t="shared" si="3"/>
        <v>350</v>
      </c>
      <c r="M21" s="25">
        <f t="shared" si="4"/>
        <v>1052</v>
      </c>
    </row>
    <row r="22" spans="1:13" x14ac:dyDescent="0.3">
      <c r="A22" s="3">
        <v>45616</v>
      </c>
      <c r="B22" s="18">
        <v>1400</v>
      </c>
      <c r="C22" s="18">
        <v>2495</v>
      </c>
      <c r="D22" s="18">
        <v>0</v>
      </c>
      <c r="E22" s="18">
        <v>2495</v>
      </c>
      <c r="F22" s="15">
        <f t="shared" si="0"/>
        <v>-1400</v>
      </c>
      <c r="G22" s="19">
        <f t="shared" si="1"/>
        <v>0</v>
      </c>
      <c r="H22" s="20">
        <v>226.82</v>
      </c>
      <c r="I22" s="21">
        <v>500</v>
      </c>
      <c r="J22" s="21">
        <v>3970</v>
      </c>
      <c r="K22" s="32">
        <f t="shared" si="2"/>
        <v>3895</v>
      </c>
      <c r="L22" s="26">
        <f t="shared" si="3"/>
        <v>900</v>
      </c>
      <c r="M22" s="25">
        <f t="shared" si="4"/>
        <v>-1475</v>
      </c>
    </row>
    <row r="23" spans="1:13" x14ac:dyDescent="0.3">
      <c r="A23" s="3">
        <v>45617</v>
      </c>
      <c r="B23" s="18">
        <v>1850</v>
      </c>
      <c r="C23" s="18">
        <v>3277</v>
      </c>
      <c r="D23" s="18">
        <v>0</v>
      </c>
      <c r="E23" s="18">
        <v>3277</v>
      </c>
      <c r="F23" s="15">
        <f t="shared" si="0"/>
        <v>-1850</v>
      </c>
      <c r="G23" s="19">
        <f t="shared" si="1"/>
        <v>0</v>
      </c>
      <c r="H23" s="20">
        <v>308.51</v>
      </c>
      <c r="I23" s="21">
        <v>2070</v>
      </c>
      <c r="J23" s="21">
        <v>0</v>
      </c>
      <c r="K23" s="32">
        <f t="shared" si="2"/>
        <v>5127</v>
      </c>
      <c r="L23" s="26">
        <f t="shared" si="3"/>
        <v>-220</v>
      </c>
      <c r="M23" s="25">
        <f t="shared" si="4"/>
        <v>3277</v>
      </c>
    </row>
    <row r="24" spans="1:13" x14ac:dyDescent="0.3">
      <c r="A24" s="3">
        <v>45618</v>
      </c>
      <c r="B24" s="18">
        <v>2150</v>
      </c>
      <c r="C24" s="18">
        <v>1160</v>
      </c>
      <c r="D24" s="18">
        <v>0</v>
      </c>
      <c r="E24" s="18">
        <v>1160</v>
      </c>
      <c r="F24" s="15">
        <f t="shared" si="0"/>
        <v>-2150</v>
      </c>
      <c r="G24" s="19">
        <f t="shared" si="1"/>
        <v>0</v>
      </c>
      <c r="H24" s="20">
        <v>119.09</v>
      </c>
      <c r="I24" s="21">
        <v>1400</v>
      </c>
      <c r="J24" s="21">
        <v>5830</v>
      </c>
      <c r="K24" s="32">
        <f t="shared" si="2"/>
        <v>3310</v>
      </c>
      <c r="L24" s="26">
        <f t="shared" si="3"/>
        <v>750</v>
      </c>
      <c r="M24" s="25">
        <f t="shared" si="4"/>
        <v>-4670</v>
      </c>
    </row>
    <row r="25" spans="1:13" x14ac:dyDescent="0.3">
      <c r="A25" s="3">
        <v>45619</v>
      </c>
      <c r="B25" s="18">
        <v>800</v>
      </c>
      <c r="C25" s="18">
        <v>2010</v>
      </c>
      <c r="D25" s="18">
        <v>0</v>
      </c>
      <c r="E25" s="18">
        <v>2010</v>
      </c>
      <c r="F25" s="15">
        <f t="shared" si="0"/>
        <v>-800</v>
      </c>
      <c r="G25" s="19">
        <f t="shared" si="1"/>
        <v>0</v>
      </c>
      <c r="H25" s="20">
        <v>207.73</v>
      </c>
      <c r="I25" s="21">
        <v>600</v>
      </c>
      <c r="J25" s="21">
        <v>0</v>
      </c>
      <c r="K25" s="32">
        <f t="shared" si="2"/>
        <v>2810</v>
      </c>
      <c r="L25" s="26">
        <f t="shared" si="3"/>
        <v>200</v>
      </c>
      <c r="M25" s="25">
        <f t="shared" si="4"/>
        <v>2010</v>
      </c>
    </row>
    <row r="26" spans="1:13" x14ac:dyDescent="0.3">
      <c r="A26" s="3">
        <v>45620</v>
      </c>
      <c r="B26" s="18">
        <v>500</v>
      </c>
      <c r="C26" s="18">
        <v>5865</v>
      </c>
      <c r="D26" s="18">
        <v>0</v>
      </c>
      <c r="E26" s="18">
        <v>5865</v>
      </c>
      <c r="F26" s="15">
        <f t="shared" si="0"/>
        <v>-500</v>
      </c>
      <c r="G26" s="19">
        <f t="shared" si="1"/>
        <v>0</v>
      </c>
      <c r="H26" s="20">
        <v>577.88</v>
      </c>
      <c r="I26" s="21">
        <v>350</v>
      </c>
      <c r="J26" s="21">
        <v>0</v>
      </c>
      <c r="K26" s="32">
        <f t="shared" si="2"/>
        <v>6365</v>
      </c>
      <c r="L26" s="26">
        <f t="shared" si="3"/>
        <v>150</v>
      </c>
      <c r="M26" s="25">
        <f t="shared" si="4"/>
        <v>5865</v>
      </c>
    </row>
    <row r="27" spans="1:13" x14ac:dyDescent="0.3">
      <c r="A27" s="3">
        <v>45621</v>
      </c>
      <c r="B27" s="18">
        <v>300</v>
      </c>
      <c r="C27" s="18">
        <v>2439</v>
      </c>
      <c r="D27" s="18">
        <v>0</v>
      </c>
      <c r="E27" s="18">
        <v>2439</v>
      </c>
      <c r="F27" s="15">
        <f t="shared" si="0"/>
        <v>-300</v>
      </c>
      <c r="G27" s="19">
        <f t="shared" si="1"/>
        <v>0</v>
      </c>
      <c r="H27" s="20">
        <v>329.31</v>
      </c>
      <c r="I27" s="21">
        <v>0</v>
      </c>
      <c r="J27" s="21">
        <v>0</v>
      </c>
      <c r="K27" s="32">
        <f t="shared" si="2"/>
        <v>2739</v>
      </c>
      <c r="L27" s="26">
        <f t="shared" si="3"/>
        <v>300</v>
      </c>
      <c r="M27" s="25">
        <f t="shared" si="4"/>
        <v>2439</v>
      </c>
    </row>
    <row r="28" spans="1:13" x14ac:dyDescent="0.3">
      <c r="A28" s="3">
        <v>45622</v>
      </c>
      <c r="B28" s="18">
        <v>300</v>
      </c>
      <c r="C28" s="18">
        <v>750</v>
      </c>
      <c r="D28" s="18">
        <v>0</v>
      </c>
      <c r="E28" s="18">
        <v>750</v>
      </c>
      <c r="F28" s="15">
        <f t="shared" si="0"/>
        <v>-300</v>
      </c>
      <c r="G28" s="19">
        <f t="shared" si="1"/>
        <v>0</v>
      </c>
      <c r="H28" s="20">
        <v>90.91</v>
      </c>
      <c r="I28" s="21">
        <v>3300</v>
      </c>
      <c r="J28" s="21">
        <v>3560</v>
      </c>
      <c r="K28" s="32">
        <f t="shared" si="2"/>
        <v>1050</v>
      </c>
      <c r="L28" s="26">
        <f t="shared" si="3"/>
        <v>-3000</v>
      </c>
      <c r="M28" s="25">
        <f t="shared" si="4"/>
        <v>-2810</v>
      </c>
    </row>
    <row r="29" spans="1:13" x14ac:dyDescent="0.3">
      <c r="A29" s="3">
        <v>45623</v>
      </c>
      <c r="B29" s="18">
        <v>180</v>
      </c>
      <c r="C29" s="18">
        <v>680</v>
      </c>
      <c r="D29" s="18">
        <v>0</v>
      </c>
      <c r="E29" s="18">
        <v>680</v>
      </c>
      <c r="F29" s="15">
        <f t="shared" si="0"/>
        <v>-180</v>
      </c>
      <c r="G29" s="19">
        <f t="shared" si="1"/>
        <v>0</v>
      </c>
      <c r="H29" s="20">
        <v>61.81</v>
      </c>
      <c r="I29" s="21">
        <v>0</v>
      </c>
      <c r="J29" s="21">
        <v>8250</v>
      </c>
      <c r="K29" s="32">
        <f t="shared" si="2"/>
        <v>860</v>
      </c>
      <c r="L29" s="26">
        <f t="shared" si="3"/>
        <v>180</v>
      </c>
      <c r="M29" s="25">
        <f t="shared" si="4"/>
        <v>-7570</v>
      </c>
    </row>
    <row r="30" spans="1:13" x14ac:dyDescent="0.3">
      <c r="A30" s="3">
        <v>45624</v>
      </c>
      <c r="B30" s="18">
        <v>0</v>
      </c>
      <c r="C30" s="18">
        <v>370</v>
      </c>
      <c r="D30" s="18">
        <v>0</v>
      </c>
      <c r="E30" s="18">
        <v>370</v>
      </c>
      <c r="F30" s="15">
        <f t="shared" si="0"/>
        <v>0</v>
      </c>
      <c r="G30" s="19">
        <f t="shared" si="1"/>
        <v>0</v>
      </c>
      <c r="H30" s="20">
        <v>61.66</v>
      </c>
      <c r="I30" s="21">
        <v>350</v>
      </c>
      <c r="J30" s="21">
        <v>2210</v>
      </c>
      <c r="K30" s="32">
        <f t="shared" si="2"/>
        <v>370</v>
      </c>
      <c r="L30" s="26">
        <f t="shared" si="3"/>
        <v>-350</v>
      </c>
      <c r="M30" s="25">
        <f t="shared" si="4"/>
        <v>-1840</v>
      </c>
    </row>
    <row r="31" spans="1:13" x14ac:dyDescent="0.3">
      <c r="A31" s="3">
        <v>45625</v>
      </c>
      <c r="B31" s="18">
        <v>600</v>
      </c>
      <c r="C31" s="18">
        <v>2020</v>
      </c>
      <c r="D31" s="18">
        <v>0</v>
      </c>
      <c r="E31" s="18">
        <v>2020</v>
      </c>
      <c r="F31" s="15">
        <f t="shared" si="0"/>
        <v>-600</v>
      </c>
      <c r="G31" s="19">
        <f t="shared" si="1"/>
        <v>0</v>
      </c>
      <c r="H31" s="20">
        <v>213.94</v>
      </c>
      <c r="I31" s="21">
        <v>550</v>
      </c>
      <c r="J31" s="21">
        <v>955</v>
      </c>
      <c r="K31" s="32">
        <f t="shared" si="2"/>
        <v>2620</v>
      </c>
      <c r="L31" s="26">
        <f t="shared" si="3"/>
        <v>50</v>
      </c>
      <c r="M31" s="25">
        <f t="shared" si="4"/>
        <v>1065</v>
      </c>
    </row>
    <row r="32" spans="1:13" x14ac:dyDescent="0.3">
      <c r="A32" s="3">
        <v>45626</v>
      </c>
      <c r="B32" s="18">
        <v>900</v>
      </c>
      <c r="C32" s="18">
        <v>3520</v>
      </c>
      <c r="D32" s="18">
        <v>0</v>
      </c>
      <c r="E32" s="18">
        <v>3520</v>
      </c>
      <c r="F32" s="15">
        <f t="shared" si="0"/>
        <v>-900</v>
      </c>
      <c r="G32" s="19">
        <f t="shared" si="1"/>
        <v>0</v>
      </c>
      <c r="H32" s="20">
        <v>338.18</v>
      </c>
      <c r="I32" s="21">
        <v>725</v>
      </c>
      <c r="J32" s="21">
        <v>430</v>
      </c>
      <c r="K32" s="32">
        <f t="shared" si="2"/>
        <v>4420</v>
      </c>
      <c r="L32" s="26">
        <f t="shared" si="3"/>
        <v>175</v>
      </c>
      <c r="M32" s="25">
        <f t="shared" si="4"/>
        <v>3090</v>
      </c>
    </row>
    <row r="33" spans="1:14" x14ac:dyDescent="0.3">
      <c r="A33" s="2"/>
      <c r="B33" s="18"/>
      <c r="C33" s="18"/>
      <c r="D33" s="18"/>
      <c r="E33" s="18"/>
      <c r="F33" s="15"/>
      <c r="G33" s="19"/>
      <c r="H33" s="20"/>
      <c r="I33" s="21"/>
      <c r="J33" s="33"/>
      <c r="K33" s="32"/>
      <c r="L33" s="26"/>
      <c r="M33" s="25"/>
    </row>
    <row r="34" spans="1:14" s="8" customFormat="1" ht="27.6" customHeight="1" x14ac:dyDescent="0.35">
      <c r="A34" s="7" t="s">
        <v>4</v>
      </c>
      <c r="B34" s="22">
        <f>SUM(B3:B33)</f>
        <v>22400</v>
      </c>
      <c r="C34" s="22">
        <f>SUM(C3:C33)</f>
        <v>66483</v>
      </c>
      <c r="D34" s="22"/>
      <c r="E34" s="22">
        <f t="shared" ref="E34:M34" si="5">SUM(E3:E33)</f>
        <v>66483</v>
      </c>
      <c r="F34" s="15">
        <f t="shared" si="5"/>
        <v>-22400</v>
      </c>
      <c r="G34" s="23">
        <f t="shared" si="5"/>
        <v>0</v>
      </c>
      <c r="H34" s="24">
        <f t="shared" si="5"/>
        <v>8599.0200000000023</v>
      </c>
      <c r="I34" s="24">
        <f t="shared" si="5"/>
        <v>23215</v>
      </c>
      <c r="J34" s="24">
        <f t="shared" si="5"/>
        <v>69860</v>
      </c>
      <c r="K34" s="32">
        <f t="shared" si="5"/>
        <v>88883</v>
      </c>
      <c r="L34" s="27">
        <f t="shared" si="5"/>
        <v>-815</v>
      </c>
      <c r="M34" s="27">
        <f t="shared" si="5"/>
        <v>-3377</v>
      </c>
      <c r="N34" s="13"/>
    </row>
    <row r="37" spans="1:14" ht="18" x14ac:dyDescent="0.3">
      <c r="G37" s="51" t="s">
        <v>14</v>
      </c>
      <c r="H37" s="51"/>
      <c r="I37" s="12">
        <f>SUM(K3:K33)</f>
        <v>88883</v>
      </c>
    </row>
    <row r="38" spans="1:14" ht="18" x14ac:dyDescent="0.3">
      <c r="G38" s="51" t="s">
        <v>16</v>
      </c>
      <c r="H38" s="51"/>
      <c r="I38" s="12">
        <f>SUM(+I34+J34)</f>
        <v>93075</v>
      </c>
    </row>
    <row r="39" spans="1:14" ht="18" x14ac:dyDescent="0.3">
      <c r="G39" s="51" t="s">
        <v>15</v>
      </c>
      <c r="H39" s="51"/>
      <c r="I39" s="12">
        <f>SUM(L34+M34)</f>
        <v>-4192</v>
      </c>
    </row>
  </sheetData>
  <mergeCells count="3">
    <mergeCell ref="G39:H39"/>
    <mergeCell ref="G38:H38"/>
    <mergeCell ref="G37:H3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39"/>
  <sheetViews>
    <sheetView topLeftCell="A17" workbookViewId="0">
      <selection activeCell="K29" sqref="K29"/>
    </sheetView>
  </sheetViews>
  <sheetFormatPr defaultRowHeight="15.6" x14ac:dyDescent="0.3"/>
  <cols>
    <col min="1" max="1" width="9.88671875" bestFit="1" customWidth="1"/>
    <col min="2" max="2" width="13.33203125" bestFit="1" customWidth="1"/>
    <col min="3" max="3" width="14.6640625" bestFit="1" customWidth="1"/>
    <col min="4" max="4" width="14.88671875" bestFit="1" customWidth="1"/>
    <col min="5" max="5" width="15" bestFit="1" customWidth="1"/>
    <col min="6" max="6" width="14.88671875" style="1" customWidth="1"/>
    <col min="7" max="7" width="15.6640625" bestFit="1" customWidth="1"/>
    <col min="8" max="10" width="14.88671875" customWidth="1"/>
    <col min="11" max="11" width="14.6640625" style="29" bestFit="1" customWidth="1"/>
    <col min="12" max="12" width="13.33203125" bestFit="1" customWidth="1"/>
    <col min="13" max="14" width="14.6640625" bestFit="1" customWidth="1"/>
  </cols>
  <sheetData>
    <row r="1" spans="1:13" ht="0.6" customHeight="1" thickBot="1" x14ac:dyDescent="0.35"/>
    <row r="2" spans="1:13" ht="30.6" customHeight="1" thickBot="1" x14ac:dyDescent="0.35">
      <c r="A2" s="6" t="s">
        <v>0</v>
      </c>
      <c r="B2" s="4" t="s">
        <v>1</v>
      </c>
      <c r="C2" s="4" t="s">
        <v>2</v>
      </c>
      <c r="D2" s="4" t="s">
        <v>5</v>
      </c>
      <c r="E2" s="4" t="s">
        <v>6</v>
      </c>
      <c r="F2" s="5" t="s">
        <v>7</v>
      </c>
      <c r="G2" s="5" t="s">
        <v>8</v>
      </c>
      <c r="H2" s="9" t="s">
        <v>9</v>
      </c>
      <c r="I2" s="10" t="s">
        <v>10</v>
      </c>
      <c r="J2" s="10" t="s">
        <v>11</v>
      </c>
      <c r="K2" s="30" t="s">
        <v>3</v>
      </c>
      <c r="L2" s="11" t="s">
        <v>12</v>
      </c>
      <c r="M2" s="11" t="s">
        <v>13</v>
      </c>
    </row>
    <row r="3" spans="1:13" x14ac:dyDescent="0.3">
      <c r="A3" s="3">
        <v>45566</v>
      </c>
      <c r="B3" s="14">
        <v>1400</v>
      </c>
      <c r="C3" s="14">
        <v>3410</v>
      </c>
      <c r="D3" s="14">
        <v>0</v>
      </c>
      <c r="E3" s="14">
        <v>3410</v>
      </c>
      <c r="F3" s="15">
        <f>SUM(D3-B3)</f>
        <v>-1400</v>
      </c>
      <c r="G3" s="15">
        <f>SUM(E3-C3)</f>
        <v>0</v>
      </c>
      <c r="H3" s="16">
        <v>568.34</v>
      </c>
      <c r="I3" s="17">
        <f>400+350</f>
        <v>750</v>
      </c>
      <c r="J3" s="17">
        <f>240+2250+637</f>
        <v>3127</v>
      </c>
      <c r="K3" s="31">
        <f>SUM(B3:C3)</f>
        <v>4810</v>
      </c>
      <c r="L3" s="25">
        <f>SUM(B3-I3)</f>
        <v>650</v>
      </c>
      <c r="M3" s="25">
        <f>SUM(E3-J3)</f>
        <v>283</v>
      </c>
    </row>
    <row r="4" spans="1:13" x14ac:dyDescent="0.3">
      <c r="A4" s="2">
        <v>45567</v>
      </c>
      <c r="B4" s="18">
        <v>200</v>
      </c>
      <c r="C4" s="18">
        <v>2230</v>
      </c>
      <c r="D4" s="18">
        <v>0</v>
      </c>
      <c r="E4" s="18">
        <v>2230</v>
      </c>
      <c r="F4" s="15">
        <f t="shared" ref="F4:G33" si="0">SUM(D4-B4)</f>
        <v>-200</v>
      </c>
      <c r="G4" s="19">
        <f t="shared" si="0"/>
        <v>0</v>
      </c>
      <c r="H4" s="20">
        <v>371.66</v>
      </c>
      <c r="I4" s="21">
        <f>150+190+130+70+70</f>
        <v>610</v>
      </c>
      <c r="J4" s="21">
        <v>2500</v>
      </c>
      <c r="K4" s="32">
        <f t="shared" ref="K4:K33" si="1">SUM(B4:C4)</f>
        <v>2430</v>
      </c>
      <c r="L4" s="26">
        <f t="shared" ref="L4:L33" si="2">SUM(B4-I4)</f>
        <v>-410</v>
      </c>
      <c r="M4" s="25">
        <f t="shared" ref="M4:M33" si="3">SUM(E4-J4)</f>
        <v>-270</v>
      </c>
    </row>
    <row r="5" spans="1:13" x14ac:dyDescent="0.3">
      <c r="A5" s="2">
        <v>45568</v>
      </c>
      <c r="B5" s="18">
        <f>1800+110</f>
        <v>1910</v>
      </c>
      <c r="C5" s="18">
        <v>6290</v>
      </c>
      <c r="D5" s="18">
        <v>0</v>
      </c>
      <c r="E5" s="18">
        <v>6290</v>
      </c>
      <c r="F5" s="15">
        <f t="shared" si="0"/>
        <v>-1910</v>
      </c>
      <c r="G5" s="19">
        <f t="shared" si="0"/>
        <v>0</v>
      </c>
      <c r="H5" s="20">
        <v>1048.32</v>
      </c>
      <c r="I5" s="21">
        <f>410+130+325</f>
        <v>865</v>
      </c>
      <c r="J5" s="21">
        <v>0</v>
      </c>
      <c r="K5" s="32">
        <f t="shared" si="1"/>
        <v>8200</v>
      </c>
      <c r="L5" s="26">
        <f t="shared" si="2"/>
        <v>1045</v>
      </c>
      <c r="M5" s="25">
        <f t="shared" si="3"/>
        <v>6290</v>
      </c>
    </row>
    <row r="6" spans="1:13" x14ac:dyDescent="0.3">
      <c r="A6" s="2">
        <v>45569</v>
      </c>
      <c r="B6" s="18">
        <v>1100</v>
      </c>
      <c r="C6" s="18">
        <v>1670</v>
      </c>
      <c r="D6" s="18">
        <v>0</v>
      </c>
      <c r="E6" s="18">
        <v>1670</v>
      </c>
      <c r="F6" s="15">
        <f t="shared" si="0"/>
        <v>-1100</v>
      </c>
      <c r="G6" s="19">
        <f t="shared" si="0"/>
        <v>0</v>
      </c>
      <c r="H6" s="20">
        <v>278.33</v>
      </c>
      <c r="I6" s="21">
        <f>300+130</f>
        <v>430</v>
      </c>
      <c r="J6" s="21">
        <v>2119</v>
      </c>
      <c r="K6" s="32">
        <f t="shared" si="1"/>
        <v>2770</v>
      </c>
      <c r="L6" s="26">
        <f t="shared" si="2"/>
        <v>670</v>
      </c>
      <c r="M6" s="25">
        <f t="shared" si="3"/>
        <v>-449</v>
      </c>
    </row>
    <row r="7" spans="1:13" x14ac:dyDescent="0.3">
      <c r="A7" s="2">
        <v>45570</v>
      </c>
      <c r="B7" s="18">
        <v>750</v>
      </c>
      <c r="C7" s="18">
        <v>2250</v>
      </c>
      <c r="D7" s="18">
        <v>0</v>
      </c>
      <c r="E7" s="18">
        <v>2250</v>
      </c>
      <c r="F7" s="15">
        <f t="shared" si="0"/>
        <v>-750</v>
      </c>
      <c r="G7" s="19">
        <f t="shared" si="0"/>
        <v>0</v>
      </c>
      <c r="H7" s="20">
        <v>418.32</v>
      </c>
      <c r="I7" s="21">
        <f>220+350</f>
        <v>570</v>
      </c>
      <c r="J7" s="21">
        <v>0</v>
      </c>
      <c r="K7" s="32">
        <f t="shared" si="1"/>
        <v>3000</v>
      </c>
      <c r="L7" s="26">
        <f t="shared" si="2"/>
        <v>180</v>
      </c>
      <c r="M7" s="25">
        <f t="shared" si="3"/>
        <v>2250</v>
      </c>
    </row>
    <row r="8" spans="1:13" x14ac:dyDescent="0.3">
      <c r="A8" s="2">
        <v>45571</v>
      </c>
      <c r="B8" s="18">
        <v>1900</v>
      </c>
      <c r="C8" s="18">
        <v>4525</v>
      </c>
      <c r="D8" s="18">
        <v>0</v>
      </c>
      <c r="E8" s="18">
        <v>4525</v>
      </c>
      <c r="F8" s="15">
        <f t="shared" si="0"/>
        <v>-1900</v>
      </c>
      <c r="G8" s="19">
        <f t="shared" si="0"/>
        <v>0</v>
      </c>
      <c r="H8" s="20">
        <v>754.15</v>
      </c>
      <c r="I8" s="21">
        <v>450</v>
      </c>
      <c r="J8" s="21">
        <v>0</v>
      </c>
      <c r="K8" s="32">
        <f t="shared" si="1"/>
        <v>6425</v>
      </c>
      <c r="L8" s="26">
        <f t="shared" si="2"/>
        <v>1450</v>
      </c>
      <c r="M8" s="25">
        <f t="shared" si="3"/>
        <v>4525</v>
      </c>
    </row>
    <row r="9" spans="1:13" x14ac:dyDescent="0.3">
      <c r="A9" s="2">
        <v>45572</v>
      </c>
      <c r="B9" s="18">
        <f>400+200+150+100</f>
        <v>850</v>
      </c>
      <c r="C9" s="18">
        <f>250+560+200+460+190+400</f>
        <v>2060</v>
      </c>
      <c r="D9" s="18">
        <v>0</v>
      </c>
      <c r="E9" s="18">
        <v>2060</v>
      </c>
      <c r="F9" s="15">
        <f t="shared" si="0"/>
        <v>-850</v>
      </c>
      <c r="G9" s="19">
        <f t="shared" si="0"/>
        <v>0</v>
      </c>
      <c r="H9" s="20">
        <v>343.34</v>
      </c>
      <c r="I9" s="21">
        <f>250+325+150</f>
        <v>725</v>
      </c>
      <c r="J9" s="21">
        <v>650</v>
      </c>
      <c r="K9" s="32">
        <f t="shared" si="1"/>
        <v>2910</v>
      </c>
      <c r="L9" s="26">
        <f t="shared" si="2"/>
        <v>125</v>
      </c>
      <c r="M9" s="25">
        <f t="shared" si="3"/>
        <v>1410</v>
      </c>
    </row>
    <row r="10" spans="1:13" x14ac:dyDescent="0.3">
      <c r="A10" s="2">
        <v>45573</v>
      </c>
      <c r="B10" s="18">
        <v>680</v>
      </c>
      <c r="C10" s="18">
        <v>1840</v>
      </c>
      <c r="D10" s="18">
        <v>0</v>
      </c>
      <c r="E10" s="18">
        <v>1840</v>
      </c>
      <c r="F10" s="15">
        <f t="shared" si="0"/>
        <v>-680</v>
      </c>
      <c r="G10" s="19">
        <f t="shared" si="0"/>
        <v>0</v>
      </c>
      <c r="H10" s="20">
        <v>306.67</v>
      </c>
      <c r="I10" s="21">
        <v>340</v>
      </c>
      <c r="J10" s="21">
        <v>15500</v>
      </c>
      <c r="K10" s="32">
        <f t="shared" si="1"/>
        <v>2520</v>
      </c>
      <c r="L10" s="26">
        <f t="shared" si="2"/>
        <v>340</v>
      </c>
      <c r="M10" s="25">
        <f t="shared" si="3"/>
        <v>-13660</v>
      </c>
    </row>
    <row r="11" spans="1:13" x14ac:dyDescent="0.3">
      <c r="A11" s="2">
        <v>45574</v>
      </c>
      <c r="B11" s="18">
        <v>850</v>
      </c>
      <c r="C11" s="18">
        <v>2730</v>
      </c>
      <c r="D11" s="18">
        <v>0</v>
      </c>
      <c r="E11" s="18">
        <v>2730</v>
      </c>
      <c r="F11" s="15">
        <f t="shared" si="0"/>
        <v>-850</v>
      </c>
      <c r="G11" s="19">
        <f t="shared" si="0"/>
        <v>0</v>
      </c>
      <c r="H11" s="20">
        <v>421.67</v>
      </c>
      <c r="I11" s="21">
        <v>5340</v>
      </c>
      <c r="J11" s="21">
        <v>110</v>
      </c>
      <c r="K11" s="32">
        <f t="shared" si="1"/>
        <v>3580</v>
      </c>
      <c r="L11" s="26">
        <f t="shared" si="2"/>
        <v>-4490</v>
      </c>
      <c r="M11" s="25">
        <f t="shared" si="3"/>
        <v>2620</v>
      </c>
    </row>
    <row r="12" spans="1:13" x14ac:dyDescent="0.3">
      <c r="A12" s="2">
        <v>45575</v>
      </c>
      <c r="B12" s="18">
        <v>950</v>
      </c>
      <c r="C12" s="18">
        <v>4540</v>
      </c>
      <c r="D12" s="18">
        <v>0</v>
      </c>
      <c r="E12" s="18">
        <v>4540</v>
      </c>
      <c r="F12" s="15">
        <f t="shared" si="0"/>
        <v>-950</v>
      </c>
      <c r="G12" s="19">
        <f t="shared" si="0"/>
        <v>0</v>
      </c>
      <c r="H12" s="20">
        <v>756.65</v>
      </c>
      <c r="I12" s="21">
        <v>1500</v>
      </c>
      <c r="J12" s="21">
        <v>4000</v>
      </c>
      <c r="K12" s="32">
        <f t="shared" si="1"/>
        <v>5490</v>
      </c>
      <c r="L12" s="26">
        <f t="shared" si="2"/>
        <v>-550</v>
      </c>
      <c r="M12" s="25">
        <f t="shared" si="3"/>
        <v>540</v>
      </c>
    </row>
    <row r="13" spans="1:13" x14ac:dyDescent="0.3">
      <c r="A13" s="2">
        <v>45576</v>
      </c>
      <c r="B13" s="18">
        <v>1350</v>
      </c>
      <c r="C13" s="18">
        <v>3770</v>
      </c>
      <c r="D13" s="18">
        <v>0</v>
      </c>
      <c r="E13" s="18">
        <v>3770</v>
      </c>
      <c r="F13" s="15">
        <f t="shared" si="0"/>
        <v>-1350</v>
      </c>
      <c r="G13" s="19">
        <f t="shared" si="0"/>
        <v>0</v>
      </c>
      <c r="H13" s="20">
        <v>628.34</v>
      </c>
      <c r="I13" s="21">
        <v>650</v>
      </c>
      <c r="J13" s="21">
        <v>4095</v>
      </c>
      <c r="K13" s="32">
        <f t="shared" si="1"/>
        <v>5120</v>
      </c>
      <c r="L13" s="26">
        <f t="shared" si="2"/>
        <v>700</v>
      </c>
      <c r="M13" s="25">
        <f t="shared" si="3"/>
        <v>-325</v>
      </c>
    </row>
    <row r="14" spans="1:13" x14ac:dyDescent="0.3">
      <c r="A14" s="2">
        <v>45577</v>
      </c>
      <c r="B14" s="18">
        <v>2200</v>
      </c>
      <c r="C14" s="18">
        <v>5985</v>
      </c>
      <c r="D14" s="18">
        <v>0</v>
      </c>
      <c r="E14" s="18">
        <v>5985</v>
      </c>
      <c r="F14" s="15">
        <f t="shared" si="0"/>
        <v>-2200</v>
      </c>
      <c r="G14" s="19">
        <f t="shared" si="0"/>
        <v>0</v>
      </c>
      <c r="H14" s="20">
        <v>997.49</v>
      </c>
      <c r="I14" s="21">
        <v>455</v>
      </c>
      <c r="J14" s="21">
        <v>0</v>
      </c>
      <c r="K14" s="32">
        <f t="shared" si="1"/>
        <v>8185</v>
      </c>
      <c r="L14" s="26">
        <f t="shared" si="2"/>
        <v>1745</v>
      </c>
      <c r="M14" s="25">
        <f t="shared" si="3"/>
        <v>5985</v>
      </c>
    </row>
    <row r="15" spans="1:13" x14ac:dyDescent="0.3">
      <c r="A15" s="2">
        <v>45578</v>
      </c>
      <c r="B15" s="18">
        <v>400</v>
      </c>
      <c r="C15" s="18">
        <v>2010</v>
      </c>
      <c r="D15" s="18">
        <v>0</v>
      </c>
      <c r="E15" s="18">
        <v>2010</v>
      </c>
      <c r="F15" s="15">
        <f t="shared" si="0"/>
        <v>-400</v>
      </c>
      <c r="G15" s="19">
        <f t="shared" si="0"/>
        <v>0</v>
      </c>
      <c r="H15" s="20">
        <v>335</v>
      </c>
      <c r="I15" s="21">
        <v>225</v>
      </c>
      <c r="J15" s="21">
        <v>800</v>
      </c>
      <c r="K15" s="32">
        <f t="shared" si="1"/>
        <v>2410</v>
      </c>
      <c r="L15" s="26">
        <f t="shared" si="2"/>
        <v>175</v>
      </c>
      <c r="M15" s="25">
        <f t="shared" si="3"/>
        <v>1210</v>
      </c>
    </row>
    <row r="16" spans="1:13" x14ac:dyDescent="0.3">
      <c r="A16" s="2">
        <v>45579</v>
      </c>
      <c r="B16" s="18">
        <v>200</v>
      </c>
      <c r="C16" s="18">
        <v>1400</v>
      </c>
      <c r="D16" s="18">
        <v>0</v>
      </c>
      <c r="E16" s="18">
        <v>1400</v>
      </c>
      <c r="F16" s="15">
        <f t="shared" si="0"/>
        <v>-200</v>
      </c>
      <c r="G16" s="19">
        <f t="shared" si="0"/>
        <v>0</v>
      </c>
      <c r="H16" s="20">
        <v>233.33</v>
      </c>
      <c r="I16" s="21">
        <v>180</v>
      </c>
      <c r="J16" s="21">
        <v>8625</v>
      </c>
      <c r="K16" s="32">
        <f t="shared" si="1"/>
        <v>1600</v>
      </c>
      <c r="L16" s="26">
        <f t="shared" si="2"/>
        <v>20</v>
      </c>
      <c r="M16" s="25">
        <f t="shared" si="3"/>
        <v>-7225</v>
      </c>
    </row>
    <row r="17" spans="1:13" x14ac:dyDescent="0.3">
      <c r="A17" s="2">
        <v>45580</v>
      </c>
      <c r="B17" s="18">
        <v>2100</v>
      </c>
      <c r="C17" s="18">
        <v>2020</v>
      </c>
      <c r="D17" s="18">
        <v>0</v>
      </c>
      <c r="E17" s="18">
        <v>2020</v>
      </c>
      <c r="F17" s="15">
        <f t="shared" si="0"/>
        <v>-2100</v>
      </c>
      <c r="G17" s="19">
        <f t="shared" si="0"/>
        <v>0</v>
      </c>
      <c r="H17" s="20">
        <v>336.66</v>
      </c>
      <c r="I17" s="21">
        <v>620</v>
      </c>
      <c r="J17" s="21">
        <v>2120</v>
      </c>
      <c r="K17" s="32">
        <f t="shared" si="1"/>
        <v>4120</v>
      </c>
      <c r="L17" s="26">
        <f t="shared" si="2"/>
        <v>1480</v>
      </c>
      <c r="M17" s="25">
        <f t="shared" si="3"/>
        <v>-100</v>
      </c>
    </row>
    <row r="18" spans="1:13" x14ac:dyDescent="0.3">
      <c r="A18" s="2">
        <v>45581</v>
      </c>
      <c r="B18" s="18">
        <v>480</v>
      </c>
      <c r="C18" s="18">
        <f>3170+150</f>
        <v>3320</v>
      </c>
      <c r="D18" s="18">
        <v>0</v>
      </c>
      <c r="E18" s="18">
        <v>3170</v>
      </c>
      <c r="F18" s="15">
        <f t="shared" si="0"/>
        <v>-480</v>
      </c>
      <c r="G18" s="19">
        <f t="shared" si="0"/>
        <v>-150</v>
      </c>
      <c r="H18" s="20">
        <v>528.35</v>
      </c>
      <c r="I18" s="21">
        <f>470+550+330</f>
        <v>1350</v>
      </c>
      <c r="J18" s="21">
        <v>335</v>
      </c>
      <c r="K18" s="32">
        <f t="shared" si="1"/>
        <v>3800</v>
      </c>
      <c r="L18" s="26">
        <f t="shared" si="2"/>
        <v>-870</v>
      </c>
      <c r="M18" s="25">
        <f t="shared" si="3"/>
        <v>2835</v>
      </c>
    </row>
    <row r="19" spans="1:13" x14ac:dyDescent="0.3">
      <c r="A19" s="2">
        <v>45582</v>
      </c>
      <c r="B19" s="18">
        <v>630</v>
      </c>
      <c r="C19" s="18">
        <v>1950</v>
      </c>
      <c r="D19" s="18">
        <v>0</v>
      </c>
      <c r="E19" s="18">
        <v>1950</v>
      </c>
      <c r="F19" s="15">
        <f t="shared" si="0"/>
        <v>-630</v>
      </c>
      <c r="G19" s="19">
        <f t="shared" si="0"/>
        <v>0</v>
      </c>
      <c r="H19" s="20">
        <v>325</v>
      </c>
      <c r="I19" s="21">
        <v>370</v>
      </c>
      <c r="J19" s="21">
        <v>1000</v>
      </c>
      <c r="K19" s="32">
        <f t="shared" si="1"/>
        <v>2580</v>
      </c>
      <c r="L19" s="26">
        <f t="shared" si="2"/>
        <v>260</v>
      </c>
      <c r="M19" s="25">
        <f t="shared" si="3"/>
        <v>950</v>
      </c>
    </row>
    <row r="20" spans="1:13" x14ac:dyDescent="0.3">
      <c r="A20" s="2">
        <v>45583</v>
      </c>
      <c r="B20" s="18">
        <v>900</v>
      </c>
      <c r="C20" s="18">
        <v>4400</v>
      </c>
      <c r="D20" s="18">
        <v>0</v>
      </c>
      <c r="E20" s="18">
        <v>3080</v>
      </c>
      <c r="F20" s="15">
        <f t="shared" si="0"/>
        <v>-900</v>
      </c>
      <c r="G20" s="19">
        <f t="shared" si="0"/>
        <v>-1320</v>
      </c>
      <c r="H20" s="20">
        <v>513.33000000000004</v>
      </c>
      <c r="I20" s="21">
        <v>4000</v>
      </c>
      <c r="J20" s="21">
        <v>7500</v>
      </c>
      <c r="K20" s="32">
        <f t="shared" si="1"/>
        <v>5300</v>
      </c>
      <c r="L20" s="26">
        <f t="shared" si="2"/>
        <v>-3100</v>
      </c>
      <c r="M20" s="25">
        <f t="shared" si="3"/>
        <v>-4420</v>
      </c>
    </row>
    <row r="21" spans="1:13" x14ac:dyDescent="0.3">
      <c r="A21" s="2">
        <v>45584</v>
      </c>
      <c r="B21" s="18">
        <v>1180</v>
      </c>
      <c r="C21" s="18">
        <v>4600</v>
      </c>
      <c r="D21" s="18">
        <v>0</v>
      </c>
      <c r="E21" s="18">
        <v>4600</v>
      </c>
      <c r="F21" s="15">
        <f t="shared" si="0"/>
        <v>-1180</v>
      </c>
      <c r="G21" s="19">
        <f t="shared" si="0"/>
        <v>0</v>
      </c>
      <c r="H21" s="20">
        <v>766.68</v>
      </c>
      <c r="I21" s="21">
        <v>330</v>
      </c>
      <c r="J21" s="21">
        <v>560</v>
      </c>
      <c r="K21" s="32">
        <f t="shared" si="1"/>
        <v>5780</v>
      </c>
      <c r="L21" s="26">
        <f t="shared" si="2"/>
        <v>850</v>
      </c>
      <c r="M21" s="25">
        <f t="shared" si="3"/>
        <v>4040</v>
      </c>
    </row>
    <row r="22" spans="1:13" x14ac:dyDescent="0.3">
      <c r="A22" s="2">
        <v>45585</v>
      </c>
      <c r="B22" s="18">
        <v>2600</v>
      </c>
      <c r="C22" s="18">
        <v>4310</v>
      </c>
      <c r="D22" s="18">
        <v>0</v>
      </c>
      <c r="E22" s="18">
        <v>4310</v>
      </c>
      <c r="F22" s="15">
        <f t="shared" si="0"/>
        <v>-2600</v>
      </c>
      <c r="G22" s="19">
        <f t="shared" si="0"/>
        <v>0</v>
      </c>
      <c r="H22" s="20">
        <v>718.33</v>
      </c>
      <c r="I22" s="21">
        <v>300</v>
      </c>
      <c r="J22" s="21">
        <v>275</v>
      </c>
      <c r="K22" s="32">
        <f t="shared" si="1"/>
        <v>6910</v>
      </c>
      <c r="L22" s="26">
        <f t="shared" si="2"/>
        <v>2300</v>
      </c>
      <c r="M22" s="25">
        <f t="shared" si="3"/>
        <v>4035</v>
      </c>
    </row>
    <row r="23" spans="1:13" x14ac:dyDescent="0.3">
      <c r="A23" s="2">
        <v>45586</v>
      </c>
      <c r="B23" s="18">
        <v>0</v>
      </c>
      <c r="C23" s="18">
        <v>2200</v>
      </c>
      <c r="D23" s="18">
        <v>0</v>
      </c>
      <c r="E23" s="18">
        <v>2200</v>
      </c>
      <c r="F23" s="15">
        <f t="shared" si="0"/>
        <v>0</v>
      </c>
      <c r="G23" s="19">
        <f t="shared" si="0"/>
        <v>0</v>
      </c>
      <c r="H23" s="20">
        <v>366.66</v>
      </c>
      <c r="I23" s="21">
        <f>300+300</f>
        <v>600</v>
      </c>
      <c r="J23" s="21">
        <f>1375+4200+200+650</f>
        <v>6425</v>
      </c>
      <c r="K23" s="32">
        <f t="shared" si="1"/>
        <v>2200</v>
      </c>
      <c r="L23" s="26">
        <f t="shared" si="2"/>
        <v>-600</v>
      </c>
      <c r="M23" s="25">
        <f t="shared" si="3"/>
        <v>-4225</v>
      </c>
    </row>
    <row r="24" spans="1:13" x14ac:dyDescent="0.3">
      <c r="A24" s="2">
        <v>45587</v>
      </c>
      <c r="B24" s="18">
        <v>670</v>
      </c>
      <c r="C24" s="18">
        <v>6090</v>
      </c>
      <c r="D24" s="18">
        <v>0</v>
      </c>
      <c r="E24" s="18">
        <v>6090</v>
      </c>
      <c r="F24" s="15">
        <f t="shared" si="0"/>
        <v>-670</v>
      </c>
      <c r="G24" s="19">
        <f t="shared" si="0"/>
        <v>0</v>
      </c>
      <c r="H24" s="20">
        <v>1015.04</v>
      </c>
      <c r="I24" s="21">
        <v>490</v>
      </c>
      <c r="J24" s="21">
        <v>5720</v>
      </c>
      <c r="K24" s="32">
        <f t="shared" si="1"/>
        <v>6760</v>
      </c>
      <c r="L24" s="26">
        <f t="shared" si="2"/>
        <v>180</v>
      </c>
      <c r="M24" s="25">
        <f t="shared" si="3"/>
        <v>370</v>
      </c>
    </row>
    <row r="25" spans="1:13" x14ac:dyDescent="0.3">
      <c r="A25" s="2">
        <v>45588</v>
      </c>
      <c r="B25" s="18">
        <v>700</v>
      </c>
      <c r="C25" s="18">
        <v>2000</v>
      </c>
      <c r="D25" s="18">
        <v>0</v>
      </c>
      <c r="E25" s="18">
        <v>2000</v>
      </c>
      <c r="F25" s="15">
        <f t="shared" si="0"/>
        <v>-700</v>
      </c>
      <c r="G25" s="19">
        <f t="shared" si="0"/>
        <v>0</v>
      </c>
      <c r="H25" s="20">
        <v>333.33</v>
      </c>
      <c r="I25" s="21">
        <v>470</v>
      </c>
      <c r="J25" s="21">
        <v>0</v>
      </c>
      <c r="K25" s="32">
        <f t="shared" si="1"/>
        <v>2700</v>
      </c>
      <c r="L25" s="26">
        <f t="shared" si="2"/>
        <v>230</v>
      </c>
      <c r="M25" s="25">
        <f t="shared" si="3"/>
        <v>2000</v>
      </c>
    </row>
    <row r="26" spans="1:13" x14ac:dyDescent="0.3">
      <c r="A26" s="2">
        <v>45589</v>
      </c>
      <c r="B26" s="18">
        <v>950</v>
      </c>
      <c r="C26" s="18">
        <v>2080</v>
      </c>
      <c r="D26" s="18">
        <v>0</v>
      </c>
      <c r="E26" s="18">
        <v>2080</v>
      </c>
      <c r="F26" s="15">
        <f t="shared" si="0"/>
        <v>-950</v>
      </c>
      <c r="G26" s="19">
        <f t="shared" si="0"/>
        <v>0</v>
      </c>
      <c r="H26" s="20">
        <v>346.67</v>
      </c>
      <c r="I26" s="21">
        <v>2000</v>
      </c>
      <c r="J26" s="21">
        <v>3840</v>
      </c>
      <c r="K26" s="32">
        <f t="shared" si="1"/>
        <v>3030</v>
      </c>
      <c r="L26" s="26">
        <f t="shared" si="2"/>
        <v>-1050</v>
      </c>
      <c r="M26" s="25">
        <f t="shared" si="3"/>
        <v>-1760</v>
      </c>
    </row>
    <row r="27" spans="1:13" x14ac:dyDescent="0.3">
      <c r="A27" s="2">
        <v>45590</v>
      </c>
      <c r="B27" s="18">
        <v>650</v>
      </c>
      <c r="C27" s="18">
        <v>930</v>
      </c>
      <c r="D27" s="18">
        <v>0</v>
      </c>
      <c r="E27" s="18">
        <v>930</v>
      </c>
      <c r="F27" s="15">
        <f t="shared" si="0"/>
        <v>-650</v>
      </c>
      <c r="G27" s="19">
        <f t="shared" si="0"/>
        <v>0</v>
      </c>
      <c r="H27" s="20">
        <v>155</v>
      </c>
      <c r="I27" s="21">
        <v>575</v>
      </c>
      <c r="J27" s="21">
        <v>0</v>
      </c>
      <c r="K27" s="32">
        <f t="shared" si="1"/>
        <v>1580</v>
      </c>
      <c r="L27" s="26">
        <f t="shared" si="2"/>
        <v>75</v>
      </c>
      <c r="M27" s="25">
        <f t="shared" si="3"/>
        <v>930</v>
      </c>
    </row>
    <row r="28" spans="1:13" x14ac:dyDescent="0.3">
      <c r="A28" s="2">
        <v>45591</v>
      </c>
      <c r="B28" s="18">
        <v>1890</v>
      </c>
      <c r="C28" s="18">
        <v>4820</v>
      </c>
      <c r="D28" s="18">
        <v>0</v>
      </c>
      <c r="E28" s="18">
        <v>4820</v>
      </c>
      <c r="F28" s="15">
        <f t="shared" si="0"/>
        <v>-1890</v>
      </c>
      <c r="G28" s="19">
        <f t="shared" si="0"/>
        <v>0</v>
      </c>
      <c r="H28" s="20">
        <v>293.33999999999997</v>
      </c>
      <c r="I28" s="21">
        <v>300</v>
      </c>
      <c r="J28" s="21">
        <v>1100</v>
      </c>
      <c r="K28" s="32">
        <v>6170</v>
      </c>
      <c r="L28" s="26">
        <f t="shared" si="2"/>
        <v>1590</v>
      </c>
      <c r="M28" s="25">
        <f t="shared" si="3"/>
        <v>3720</v>
      </c>
    </row>
    <row r="29" spans="1:13" x14ac:dyDescent="0.3">
      <c r="A29" s="2">
        <v>45592</v>
      </c>
      <c r="B29" s="18">
        <v>540</v>
      </c>
      <c r="C29" s="18">
        <v>2930</v>
      </c>
      <c r="D29" s="18">
        <v>0</v>
      </c>
      <c r="E29" s="18">
        <v>2930</v>
      </c>
      <c r="F29" s="15">
        <f t="shared" si="0"/>
        <v>-540</v>
      </c>
      <c r="G29" s="19">
        <f t="shared" si="0"/>
        <v>0</v>
      </c>
      <c r="H29" s="20">
        <v>430</v>
      </c>
      <c r="I29" s="21">
        <v>480</v>
      </c>
      <c r="J29" s="21">
        <v>0</v>
      </c>
      <c r="K29" s="32">
        <f t="shared" si="1"/>
        <v>3470</v>
      </c>
      <c r="L29" s="26">
        <f t="shared" si="2"/>
        <v>60</v>
      </c>
      <c r="M29" s="25">
        <f t="shared" si="3"/>
        <v>2930</v>
      </c>
    </row>
    <row r="30" spans="1:13" x14ac:dyDescent="0.3">
      <c r="A30" s="2">
        <v>45593</v>
      </c>
      <c r="B30" s="18">
        <v>830</v>
      </c>
      <c r="C30" s="18">
        <v>3490</v>
      </c>
      <c r="D30" s="18">
        <v>0</v>
      </c>
      <c r="E30" s="18">
        <v>3490</v>
      </c>
      <c r="F30" s="15">
        <f t="shared" si="0"/>
        <v>-830</v>
      </c>
      <c r="G30" s="19">
        <f t="shared" si="0"/>
        <v>0</v>
      </c>
      <c r="H30" s="20">
        <v>581.66999999999996</v>
      </c>
      <c r="I30" s="21">
        <v>1200</v>
      </c>
      <c r="J30" s="21">
        <v>12365</v>
      </c>
      <c r="K30" s="32">
        <f t="shared" si="1"/>
        <v>4320</v>
      </c>
      <c r="L30" s="26">
        <f t="shared" si="2"/>
        <v>-370</v>
      </c>
      <c r="M30" s="25">
        <f t="shared" si="3"/>
        <v>-8875</v>
      </c>
    </row>
    <row r="31" spans="1:13" x14ac:dyDescent="0.3">
      <c r="A31" s="2">
        <v>45594</v>
      </c>
      <c r="B31" s="18">
        <v>100</v>
      </c>
      <c r="C31" s="18">
        <v>2680</v>
      </c>
      <c r="D31" s="18">
        <v>0</v>
      </c>
      <c r="E31" s="18">
        <v>2680</v>
      </c>
      <c r="F31" s="15">
        <f t="shared" si="0"/>
        <v>-100</v>
      </c>
      <c r="G31" s="19">
        <f t="shared" si="0"/>
        <v>0</v>
      </c>
      <c r="H31" s="20">
        <v>446.65</v>
      </c>
      <c r="I31" s="21">
        <v>150</v>
      </c>
      <c r="J31" s="21">
        <v>970</v>
      </c>
      <c r="K31" s="32">
        <f t="shared" si="1"/>
        <v>2780</v>
      </c>
      <c r="L31" s="26">
        <f t="shared" si="2"/>
        <v>-50</v>
      </c>
      <c r="M31" s="25">
        <f t="shared" si="3"/>
        <v>1710</v>
      </c>
    </row>
    <row r="32" spans="1:13" x14ac:dyDescent="0.3">
      <c r="A32" s="2">
        <v>45595</v>
      </c>
      <c r="B32" s="18">
        <v>1100</v>
      </c>
      <c r="C32" s="18">
        <v>1370</v>
      </c>
      <c r="D32" s="18">
        <v>0</v>
      </c>
      <c r="E32" s="18">
        <v>1370</v>
      </c>
      <c r="F32" s="15">
        <f t="shared" si="0"/>
        <v>-1100</v>
      </c>
      <c r="G32" s="19">
        <f t="shared" si="0"/>
        <v>0</v>
      </c>
      <c r="H32" s="20">
        <v>103.33</v>
      </c>
      <c r="I32" s="21">
        <v>1655</v>
      </c>
      <c r="J32" s="21">
        <v>5465</v>
      </c>
      <c r="K32" s="32">
        <f t="shared" si="1"/>
        <v>2470</v>
      </c>
      <c r="L32" s="26">
        <f t="shared" si="2"/>
        <v>-555</v>
      </c>
      <c r="M32" s="25">
        <f t="shared" si="3"/>
        <v>-4095</v>
      </c>
    </row>
    <row r="33" spans="1:14" x14ac:dyDescent="0.3">
      <c r="A33" s="2">
        <v>45596</v>
      </c>
      <c r="B33" s="18">
        <v>50</v>
      </c>
      <c r="C33" s="18">
        <v>3600</v>
      </c>
      <c r="D33" s="18">
        <v>0</v>
      </c>
      <c r="E33" s="18">
        <v>3600</v>
      </c>
      <c r="F33" s="15">
        <f t="shared" si="0"/>
        <v>-50</v>
      </c>
      <c r="G33" s="19">
        <f t="shared" si="0"/>
        <v>0</v>
      </c>
      <c r="H33" s="20">
        <v>599.98</v>
      </c>
      <c r="I33" s="21">
        <v>290</v>
      </c>
      <c r="J33" s="21">
        <v>0</v>
      </c>
      <c r="K33" s="32">
        <f t="shared" si="1"/>
        <v>3650</v>
      </c>
      <c r="L33" s="26">
        <f t="shared" si="2"/>
        <v>-240</v>
      </c>
      <c r="M33" s="25">
        <f t="shared" si="3"/>
        <v>3600</v>
      </c>
    </row>
    <row r="34" spans="1:14" s="8" customFormat="1" ht="27.6" customHeight="1" x14ac:dyDescent="0.35">
      <c r="A34" s="7" t="s">
        <v>4</v>
      </c>
      <c r="B34" s="22">
        <f>SUM(B3:B33)</f>
        <v>30110</v>
      </c>
      <c r="C34" s="22">
        <f>SUM(C3:C33)</f>
        <v>97500</v>
      </c>
      <c r="D34" s="22"/>
      <c r="E34" s="22">
        <f t="shared" ref="E34:M34" si="4">SUM(E3:E33)</f>
        <v>96030</v>
      </c>
      <c r="F34" s="15">
        <f t="shared" si="4"/>
        <v>-30110</v>
      </c>
      <c r="G34" s="23">
        <f t="shared" si="4"/>
        <v>-1470</v>
      </c>
      <c r="H34" s="24">
        <f t="shared" si="4"/>
        <v>15321.63</v>
      </c>
      <c r="I34" s="24">
        <f t="shared" si="4"/>
        <v>28270</v>
      </c>
      <c r="J34" s="24">
        <f t="shared" si="4"/>
        <v>89201</v>
      </c>
      <c r="K34" s="32">
        <f t="shared" si="4"/>
        <v>127070</v>
      </c>
      <c r="L34" s="27">
        <f t="shared" si="4"/>
        <v>1840</v>
      </c>
      <c r="M34" s="27">
        <f t="shared" si="4"/>
        <v>6829</v>
      </c>
      <c r="N34" s="13"/>
    </row>
    <row r="37" spans="1:14" ht="18" x14ac:dyDescent="0.3">
      <c r="G37" s="51" t="s">
        <v>14</v>
      </c>
      <c r="H37" s="51"/>
      <c r="I37" s="12">
        <f>SUM(K3:K33)</f>
        <v>127070</v>
      </c>
    </row>
    <row r="38" spans="1:14" ht="18" x14ac:dyDescent="0.3">
      <c r="G38" s="51" t="s">
        <v>16</v>
      </c>
      <c r="H38" s="51"/>
      <c r="I38" s="12">
        <f>SUM(+I34+J34)</f>
        <v>117471</v>
      </c>
    </row>
    <row r="39" spans="1:14" ht="18" x14ac:dyDescent="0.3">
      <c r="G39" s="51" t="s">
        <v>15</v>
      </c>
      <c r="H39" s="51"/>
      <c r="I39" s="12">
        <f>SUM(L34+M34)</f>
        <v>8669</v>
      </c>
    </row>
  </sheetData>
  <mergeCells count="3">
    <mergeCell ref="G37:H37"/>
    <mergeCell ref="G38:H38"/>
    <mergeCell ref="G39:H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28</vt:i4>
      </vt:variant>
    </vt:vector>
  </HeadingPairs>
  <TitlesOfParts>
    <vt:vector size="28" baseType="lpstr">
      <vt:lpstr>EKİM 2026 </vt:lpstr>
      <vt:lpstr>EYLÜL 2026</vt:lpstr>
      <vt:lpstr>AĞUSTOS 2026</vt:lpstr>
      <vt:lpstr>TEMMUZ 2026</vt:lpstr>
      <vt:lpstr>HAZİRAN 2026</vt:lpstr>
      <vt:lpstr>MAYIS 2026</vt:lpstr>
      <vt:lpstr>NİSAN 2026</vt:lpstr>
      <vt:lpstr>MART 2026</vt:lpstr>
      <vt:lpstr>ŞUBAT 2026</vt:lpstr>
      <vt:lpstr>OCAK 2026</vt:lpstr>
      <vt:lpstr>GENEL 2025</vt:lpstr>
      <vt:lpstr>ARALIK 2025</vt:lpstr>
      <vt:lpstr>KASIM 2025</vt:lpstr>
      <vt:lpstr>EKİM 2025</vt:lpstr>
      <vt:lpstr>Sayfa1</vt:lpstr>
      <vt:lpstr>EYLÜL GÜNSONU TABLOSU </vt:lpstr>
      <vt:lpstr>AĞUSTOS GÜNSONU TABLOSU</vt:lpstr>
      <vt:lpstr>TEMMUZ GÜNSONU TABLOSU</vt:lpstr>
      <vt:lpstr>HAZİRAN GÜNSONU TABLOSU  </vt:lpstr>
      <vt:lpstr>MAYIS GÜNSONU TABLOSU </vt:lpstr>
      <vt:lpstr>NİSAN GÜNSONU TABLOSU </vt:lpstr>
      <vt:lpstr>MART GÜNSONU TABLOSU</vt:lpstr>
      <vt:lpstr>ŞUBAT GÜNSONU TABLOSU</vt:lpstr>
      <vt:lpstr>OCAK GÜNSONU TABLOSU</vt:lpstr>
      <vt:lpstr>2025</vt:lpstr>
      <vt:lpstr>ARALIK GÜNSONU TABLOSU</vt:lpstr>
      <vt:lpstr>KASIM GÜNSONU TABLOSU</vt:lpstr>
      <vt:lpstr>EKİM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20319</cp:lastModifiedBy>
  <dcterms:created xsi:type="dcterms:W3CDTF">2024-10-07T17:45:49Z</dcterms:created>
  <dcterms:modified xsi:type="dcterms:W3CDTF">2026-10-08T17:36:21Z</dcterms:modified>
</cp:coreProperties>
</file>